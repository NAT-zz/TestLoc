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66925"/>
  <xr:revisionPtr revIDLastSave="0" documentId="13_ncr:20001_{AEB0125E-6868-44D1-A1A0-8442E74F1CDC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heet4" sheetId="4" r:id="rId1"/>
    <sheet name="Sheet1" sheetId="1" r:id="rId2"/>
    <sheet name="Sheet2" sheetId="2" state="hidden" r:id="rId3"/>
    <sheet name="Sheet3" sheetId="3" state="hidden" r:id="rId4"/>
  </sheets>
  <definedNames>
    <definedName name="_xlnm._FilterDatabase">Sheet1!$A$1:$G$1</definedName>
  </definedNames>
  <calcPr calcId="181029"/>
  <fileRecoveryPr repairLoad="1"/>
</workbook>
</file>

<file path=xl/calcChain.xml><?xml version="1.0" encoding="utf-8"?>
<calcChain xmlns="http://schemas.openxmlformats.org/spreadsheetml/2006/main">
  <c r="E49" i="3" l="1"/>
  <c r="E48" i="3"/>
  <c r="H40" i="3"/>
  <c r="H39" i="3"/>
  <c r="H38" i="3"/>
  <c r="H37" i="3"/>
  <c r="H36" i="3"/>
  <c r="H35" i="3"/>
  <c r="H34" i="3"/>
  <c r="D23" i="3"/>
  <c r="C23" i="3"/>
  <c r="H22" i="3"/>
  <c r="I22" i="3" s="1"/>
  <c r="F22" i="3"/>
  <c r="E22" i="3"/>
  <c r="G22" i="3" s="1"/>
  <c r="H21" i="3"/>
  <c r="I21" i="3" s="1"/>
  <c r="F21" i="3"/>
  <c r="E21" i="3"/>
  <c r="G21" i="3" s="1"/>
  <c r="I20" i="3"/>
  <c r="H20" i="3"/>
  <c r="F20" i="3"/>
  <c r="E20" i="3"/>
  <c r="G20" i="3" s="1"/>
  <c r="H19" i="3"/>
  <c r="I19" i="3" s="1"/>
  <c r="F19" i="3"/>
  <c r="E19" i="3"/>
  <c r="G19" i="3" s="1"/>
  <c r="H18" i="3"/>
  <c r="I18" i="3" s="1"/>
  <c r="G18" i="3"/>
  <c r="F18" i="3"/>
  <c r="E18" i="3"/>
  <c r="I17" i="3"/>
  <c r="H17" i="3"/>
  <c r="G17" i="3"/>
  <c r="F17" i="3"/>
  <c r="E17" i="3"/>
  <c r="I16" i="3"/>
  <c r="H16" i="3"/>
  <c r="F16" i="3"/>
  <c r="E16" i="3"/>
  <c r="G16" i="3" s="1"/>
  <c r="I15" i="3"/>
  <c r="H15" i="3"/>
  <c r="G15" i="3"/>
  <c r="F15" i="3"/>
  <c r="E15" i="3"/>
  <c r="I14" i="3"/>
  <c r="H14" i="3"/>
  <c r="F14" i="3"/>
  <c r="E14" i="3"/>
  <c r="G14" i="3" s="1"/>
  <c r="H13" i="3"/>
  <c r="I13" i="3" s="1"/>
  <c r="G13" i="3"/>
  <c r="F13" i="3"/>
  <c r="E13" i="3"/>
  <c r="H12" i="3"/>
  <c r="I12" i="3" s="1"/>
  <c r="G12" i="3"/>
  <c r="F12" i="3"/>
  <c r="E12" i="3"/>
  <c r="H11" i="3"/>
  <c r="I11" i="3" s="1"/>
  <c r="G11" i="3"/>
  <c r="F11" i="3"/>
  <c r="E11" i="3"/>
  <c r="H10" i="3"/>
  <c r="I10" i="3" s="1"/>
  <c r="F10" i="3"/>
  <c r="E10" i="3"/>
  <c r="G10" i="3" s="1"/>
  <c r="H9" i="3"/>
  <c r="I9" i="3" s="1"/>
  <c r="F9" i="3"/>
  <c r="E9" i="3"/>
  <c r="G9" i="3" s="1"/>
  <c r="I8" i="3"/>
  <c r="H8" i="3"/>
  <c r="F8" i="3"/>
  <c r="E8" i="3"/>
  <c r="G8" i="3" s="1"/>
  <c r="H7" i="3"/>
  <c r="I7" i="3" s="1"/>
  <c r="F7" i="3"/>
  <c r="E7" i="3"/>
  <c r="G7" i="3" s="1"/>
  <c r="H6" i="3"/>
  <c r="H23" i="3" s="1"/>
  <c r="G6" i="3"/>
  <c r="F6" i="3"/>
  <c r="E6" i="3"/>
  <c r="I5" i="3"/>
  <c r="H5" i="3"/>
  <c r="G5" i="3"/>
  <c r="F5" i="3"/>
  <c r="E5" i="3"/>
  <c r="I4" i="3"/>
  <c r="H4" i="3"/>
  <c r="F4" i="3"/>
  <c r="F23" i="3" s="1"/>
  <c r="E4" i="3"/>
  <c r="E23" i="3" s="1"/>
  <c r="B21" i="2"/>
  <c r="F12" i="2" s="1"/>
  <c r="B20" i="2"/>
  <c r="F17" i="2" s="1"/>
  <c r="B19" i="2"/>
  <c r="F20" i="2" s="1"/>
  <c r="B18" i="2"/>
  <c r="F9" i="2" s="1"/>
  <c r="B17" i="2"/>
  <c r="F14" i="2" s="1"/>
  <c r="B16" i="2"/>
  <c r="F22" i="2" s="1"/>
  <c r="B15" i="2"/>
  <c r="F4" i="2" s="1"/>
  <c r="B14" i="2"/>
  <c r="F19" i="2" s="1"/>
  <c r="B13" i="2"/>
  <c r="F11" i="2" s="1"/>
  <c r="B12" i="2"/>
  <c r="F15" i="2" s="1"/>
  <c r="B11" i="2"/>
  <c r="F5" i="2" s="1"/>
  <c r="B10" i="2"/>
  <c r="F3" i="2" s="1"/>
  <c r="B9" i="2"/>
  <c r="F13" i="2" s="1"/>
  <c r="B8" i="2"/>
  <c r="F10" i="2" s="1"/>
  <c r="F7" i="2"/>
  <c r="B7" i="2"/>
  <c r="F6" i="2" s="1"/>
  <c r="B6" i="2"/>
  <c r="F16" i="2" s="1"/>
  <c r="B5" i="2"/>
  <c r="F21" i="2" s="1"/>
  <c r="B4" i="2"/>
  <c r="F8" i="2" s="1"/>
  <c r="B3" i="2"/>
  <c r="F18" i="2" s="1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G4" i="3" l="1"/>
  <c r="G23" i="3" s="1"/>
  <c r="I6" i="3"/>
</calcChain>
</file>

<file path=xl/sharedStrings.xml><?xml version="1.0" encoding="utf-8"?>
<sst xmlns="http://schemas.openxmlformats.org/spreadsheetml/2006/main" count="4619" uniqueCount="2701">
  <si>
    <t>Row Labels</t>
  </si>
  <si>
    <t>Count of Đơn vị</t>
  </si>
  <si>
    <t>Anh Sơn</t>
  </si>
  <si>
    <t>Con Cuông</t>
  </si>
  <si>
    <t>Diễn Châu</t>
  </si>
  <si>
    <t>Đô Lương</t>
  </si>
  <si>
    <t>Hưng Nguyên</t>
  </si>
  <si>
    <t>Kỳ Sơn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</si>
  <si>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</si>
  <si>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</si>
  <si>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</si>
  <si>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</si>
  <si>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</si>
  <si>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</si>
  <si>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</si>
  <si>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Tân Kỳ</t>
  </si>
  <si>
    <t>Thanh Chương</t>
  </si>
  <si>
    <t>TTKDGP</t>
  </si>
  <si>
    <t>Tương Dương</t>
  </si>
  <si>
    <t>Vinh 1</t>
  </si>
  <si>
    <t>Vinh 2</t>
  </si>
  <si>
    <t>Yên Thành</t>
  </si>
  <si>
    <t>Grand Total</t>
  </si>
  <si>
    <t>STT</t>
  </si>
  <si>
    <t>Tên cơ sở hành nghề</t>
  </si>
  <si>
    <t>Người phụ trách chuyên môn</t>
  </si>
  <si>
    <t>Địa điểm hành nghề</t>
  </si>
  <si>
    <t>Hình thức tổ chức</t>
  </si>
  <si>
    <t>Số giấy phép hoạt động</t>
  </si>
  <si>
    <t>Đơn vị</t>
  </si>
  <si>
    <t>PHÒNG KHÁM BỆNH RĂNG-HÀM-MẶT  TƯ NHÂN  108</t>
  </si>
  <si>
    <t>Võ Duy Khánh</t>
  </si>
  <si>
    <t>Số 96- Đ. Ngư Hải- TP.Vinh</t>
  </si>
  <si>
    <t>Phòng khám chuyên khoa</t>
  </si>
  <si>
    <t>0053/NA-GPHĐ</t>
  </si>
  <si>
    <t xml:space="preserve">PHÒNG KHÁM BỆNH SẢN PHỤ KHOA  TƯ NHÂN  </t>
  </si>
  <si>
    <t>Hoàng Thị Thu</t>
  </si>
  <si>
    <t>Số 23,ngõ1A- Đ. Trần Thủ Độ- TP.Vinh</t>
  </si>
  <si>
    <t>0056/NA-GPHĐ</t>
  </si>
  <si>
    <t>Đặng Thị Ngọc</t>
  </si>
  <si>
    <t>Số 03, Vinaconec 9- Đ. Lê-Nin - TP.Vinh</t>
  </si>
  <si>
    <t>0057/NA-GPHĐ</t>
  </si>
  <si>
    <t>Lương Thị Bích Ngân</t>
  </si>
  <si>
    <t>Số 18,ngõ 128- Đ. Lê Hồng Phong- TP.Vinh</t>
  </si>
  <si>
    <t>0058/NA-GPHĐ</t>
  </si>
  <si>
    <t>PHÒNG KHÁM BỆNH NỘI KHOA TỔNG HỢP  TƯ NHÂN</t>
  </si>
  <si>
    <t>Trần Quốc Thành</t>
  </si>
  <si>
    <t>Khối Hòa Đông- TT Hòa Bình- Tương Dương</t>
  </si>
  <si>
    <t>0059/NA-GPHĐ</t>
  </si>
  <si>
    <t xml:space="preserve">PHÒNG KHÁM BỆNH RĂNG-HÀM-MẶT  TƯ NHÂN  </t>
  </si>
  <si>
    <t>Nguyễn Thị Phương Thảo</t>
  </si>
  <si>
    <t>Khối 3- TT Quán Hành- Nghi Lộc</t>
  </si>
  <si>
    <t>0060/NA-GPHĐ</t>
  </si>
  <si>
    <t>Nguyễn Thị Thu</t>
  </si>
  <si>
    <t>Khối 2- Thị trấn Con Cuông</t>
  </si>
  <si>
    <t>0061/NA-GPHĐ</t>
  </si>
  <si>
    <t xml:space="preserve">PHÒNG CHẨN TRỊ Y HỌC CỔ TRUYỀN TƯ NHÂN   </t>
  </si>
  <si>
    <t>Trần Thị Mai Hòa</t>
  </si>
  <si>
    <t>Số 18- Đ. Đinh Công Tráng - TP. Vinh</t>
  </si>
  <si>
    <t>Phòng YHCT</t>
  </si>
  <si>
    <t>0063/NA-GPHĐ</t>
  </si>
  <si>
    <t>Lê Xuân Thu</t>
  </si>
  <si>
    <t>Số 04/Ngõ 47- Đ. Hoàng Trọng Trì- Hưng Lộc-TP.Vinh</t>
  </si>
  <si>
    <t>0064/NA-GPHĐ</t>
  </si>
  <si>
    <t>PHÒNG KHÁM BỆNH SẢN PHỤ KHOA TƯ NHÂN THANH TÂM</t>
  </si>
  <si>
    <t>Lê Thị Thanh Tâm</t>
  </si>
  <si>
    <t>Số 04/Ngõ 10- Đ. Hoàng Phan Thái- Nghi Phú-TP.Vinh</t>
  </si>
  <si>
    <t>0066/NA-GPHĐ</t>
  </si>
  <si>
    <t>Lô Thị Hiền</t>
  </si>
  <si>
    <t>Khối Bắc Hồ- Thị trấn huyện Quỳ Hợp</t>
  </si>
  <si>
    <t>0067/NA-GPHĐ</t>
  </si>
  <si>
    <t>PHÒNG KHÁM  CHẨN ĐOÁN HÌNH ẢNH  TƯ NHÂN</t>
  </si>
  <si>
    <t>Trần Khánh Trường</t>
  </si>
  <si>
    <t>Số 167 – Đ. Nguyễn Phong Sắc – TP.Vinh</t>
  </si>
  <si>
    <t>0070/NA-GPHĐ</t>
  </si>
  <si>
    <t>PHÒNG KHÁM  XÉT NGHIỆM  TƯ NHÂN</t>
  </si>
  <si>
    <t>Trần Viết Sâm</t>
  </si>
  <si>
    <t>0071/NA-GPHĐ</t>
  </si>
  <si>
    <t>PHÒNG KHÁM BỆNH NỘI KHOA TỔNG HỢP  TƯ NHÂN PHỦ QUỲ</t>
  </si>
  <si>
    <t>Phạm Ngọc Thể</t>
  </si>
  <si>
    <t>K. Tây Hồ 2-P.Quang Tiến-Tx Thái Hòa</t>
  </si>
  <si>
    <t>0073/NA-GPHĐ</t>
  </si>
  <si>
    <t>PHÒNG KHÁM BỆNH SẢN PHỤ KHOA TƯ NHÂN BS PHƯỢNG</t>
  </si>
  <si>
    <t>Võ Thị Phượng</t>
  </si>
  <si>
    <t>Số 122-  Đ. Lê Hồng Phong – TP.Vinh</t>
  </si>
  <si>
    <t>0075/NA-GPHĐ</t>
  </si>
  <si>
    <t>PHÒNG KHÁM BỆNH RĂNG-HÀM-MẶT  TƯ NHÂN BS CA</t>
  </si>
  <si>
    <t>Ngô Trí Ca</t>
  </si>
  <si>
    <t>Số 80-  Đ. Võ Thị Sáu – TP.Vinh</t>
  </si>
  <si>
    <t>0076/NA-GPHĐ</t>
  </si>
  <si>
    <t>PHÒNG KHÁM BỆNH SẢN PHỤ KHOA TƯ NHÂN ANH SINH</t>
  </si>
  <si>
    <t>Đinh Văn Sinh</t>
  </si>
  <si>
    <t>Số 97- Đ. Nguyễn Phong Sắc - TP. Vinh</t>
  </si>
  <si>
    <t>0079/NA-GPHĐ</t>
  </si>
  <si>
    <t>Trần Khánh Hoành</t>
  </si>
  <si>
    <t>Số 65- Đ. Đặng Thái Thân - TP. Vinh</t>
  </si>
  <si>
    <t>Phòng khám YHCT</t>
  </si>
  <si>
    <t>0080/NA-GPHĐ</t>
  </si>
  <si>
    <t>PHÒNG KHÁM BỆNH RĂNG-HÀM-MẶT  TƯ NHÂN</t>
  </si>
  <si>
    <t>Lê Văn Cường</t>
  </si>
  <si>
    <t>K. Bắc Mỹ- Quỳnh Thiện- TX.Hoàng Mai</t>
  </si>
  <si>
    <t>0082/NA-GPHĐ</t>
  </si>
  <si>
    <t>PHÒNG KHÁM BỆNH TAI MŨI HỌNG  TƯ NHÂN</t>
  </si>
  <si>
    <t>Phạm Hồng Sâm</t>
  </si>
  <si>
    <t>Khối 6- Thị trấn huyện Diễn Châu</t>
  </si>
  <si>
    <t>0084/NA-GPHĐ</t>
  </si>
  <si>
    <t>PHÒNG KHÁM BỆNH SẢN PHỤ KHOA TƯ NHÂN</t>
  </si>
  <si>
    <t>Cao Thị Hường</t>
  </si>
  <si>
    <t>0085/NA-GPHĐ</t>
  </si>
  <si>
    <t>DỊCH VỤ TIÊM CHÍCH, THAY BĂNG TƯ NHÂN</t>
  </si>
  <si>
    <t>Lê Thị Bích Hợp</t>
  </si>
  <si>
    <t>Số 32/4- Đ. Phan Bội Châu- TP. Vinh</t>
  </si>
  <si>
    <t>0089/NA-GPHĐ</t>
  </si>
  <si>
    <t>DỊCH VỤ TIÊM CHÍCH, THAY BĂNG TƯ NHÂN TẠI NHÀ</t>
  </si>
  <si>
    <t>Hoàng Thị Hiền</t>
  </si>
  <si>
    <t>Khối 2- P. Trung Đô- TP. Vinh</t>
  </si>
  <si>
    <t>Dịch vụ y tế</t>
  </si>
  <si>
    <t>0092/NA-GPHĐ</t>
  </si>
  <si>
    <t>PHÒNG KHÁM BỆNH NỘI KHOA   TƯ NHÂN</t>
  </si>
  <si>
    <t>Lê Giang Nam</t>
  </si>
  <si>
    <t>Khối 8- P. Long Sơn- TX. Thái Hòa</t>
  </si>
  <si>
    <t>0090/NA-GPHĐ</t>
  </si>
  <si>
    <t>PHÒNG KHÁM BỆNH NHI KHOA   TƯ NHÂN</t>
  </si>
  <si>
    <t>Lê Thị Lan Anh</t>
  </si>
  <si>
    <t>Khối Kim Tân- P. Hòa Hiêu- TX. Thái Hòa</t>
  </si>
  <si>
    <t>0091/NA-GPHĐ</t>
  </si>
  <si>
    <t xml:space="preserve">DỊCH VỤ TIÊM CHÍCH, THAY BĂNG TƯ NHÂN </t>
  </si>
  <si>
    <t>Võ Thị Thanh Hải</t>
  </si>
  <si>
    <t>Số 7/Ngõ30- Đ. Tuệ Tĩnh- TP. Vinh</t>
  </si>
  <si>
    <t>0093/NA-GPHĐ</t>
  </si>
  <si>
    <t>Lê Tiến Dũng</t>
  </si>
  <si>
    <t>Khối 5- Thị trấn huyện Con Cuông</t>
  </si>
  <si>
    <t>0088/NA-GPHĐ</t>
  </si>
  <si>
    <t>PHÒNG KHÁM BỆNH NỘI KHOA TƯ NHÂN BS NGỢI</t>
  </si>
  <si>
    <t>Phan Thị Ngợi</t>
  </si>
  <si>
    <t>Xóm 2- Xã Tăng Thành- Yên Thành</t>
  </si>
  <si>
    <t>0101/NA-GPHĐ</t>
  </si>
  <si>
    <t>PHÒNG KHÁM BỆNH NỘI KHOA TƯ NHÂN BS THÀNH</t>
  </si>
  <si>
    <t>Hồ Hoàng Thành</t>
  </si>
  <si>
    <t>Xóm 6- Quỳnh Văn- Quỳnh Lưu</t>
  </si>
  <si>
    <t>0102/NA-GPHĐ</t>
  </si>
  <si>
    <t xml:space="preserve">PHÒNG KHÁM BỆNH NỘI KHOA TƯ NHÂN </t>
  </si>
  <si>
    <t>Phạm Gia Vân</t>
  </si>
  <si>
    <t>Số nhà 48- Đ. Nguyễn Đức Cảnh- TP.Vinh</t>
  </si>
  <si>
    <t>0103/NA-GPHĐ</t>
  </si>
  <si>
    <t>PHÒNG KHÁM BỆNH RĂNG-HÀM-MẶT TƯ NHÂN</t>
  </si>
  <si>
    <t>Phan Tiến Dũng</t>
  </si>
  <si>
    <t>Số 57- Đ. Ngư Hải- TP.Vinh</t>
  </si>
  <si>
    <t>0105/NA-GPHĐ</t>
  </si>
  <si>
    <t>PHÒNG KHÁM BỆNH TAI MŨI HỌNG TƯ NHÂN</t>
  </si>
  <si>
    <t>Nguyễn Bá Hiệp</t>
  </si>
  <si>
    <t>K. Tân Phong- Quỳnh Thiện- TX Hoàng Mai</t>
  </si>
  <si>
    <t>0106/NA-GPHĐ</t>
  </si>
  <si>
    <t>Nguyễn Thị Ngân</t>
  </si>
  <si>
    <t>Số nhà 223- Đ. Phùng Chí Kiên- TP.Vinh</t>
  </si>
  <si>
    <t>0107/NA-GPHĐ</t>
  </si>
  <si>
    <t>PHÒNG CHẨN TRỊ Y HỌC CỔ TRUYỀN TƯ NHÂN  ĐỨC TÀI</t>
  </si>
  <si>
    <t>Đoàn Thế Tài</t>
  </si>
  <si>
    <t>Số 8/ngõ 161- Đ. Phùng Chí Kiên  - TP. Vinh</t>
  </si>
  <si>
    <t>0109/NA-GPHĐ</t>
  </si>
  <si>
    <t>Phan Thị Nga</t>
  </si>
  <si>
    <t>K. Tây Hồ I- P. Quang Tiến- TX Thái Hòa</t>
  </si>
  <si>
    <t>0110/NA-GPHĐ</t>
  </si>
  <si>
    <t>Trần Ngọc Lưu</t>
  </si>
  <si>
    <t>Khối 2- Thị trấn huyện Diễn Châu</t>
  </si>
  <si>
    <t>0111/NA-GPHĐ</t>
  </si>
  <si>
    <t>PHÒNG KHÁM BỆNH RĂNG-HÀM-MẶT TƯ NHÂN BS NAM</t>
  </si>
  <si>
    <t>Hồ Sỹ Nam</t>
  </si>
  <si>
    <t>K. Yên Ninh- Quỳnh Dỵ- TX.Hoàng Mai</t>
  </si>
  <si>
    <t>0104/NA-GPHĐ</t>
  </si>
  <si>
    <t>Vi Văn Tới</t>
  </si>
  <si>
    <t>Khối 1- Thị trấn huyện Con Cuông</t>
  </si>
  <si>
    <t>0113/NA-GPHĐ</t>
  </si>
  <si>
    <t>Hồ Khắc Quyền</t>
  </si>
  <si>
    <t>Số 02- Đ. Lý Tự Trọng- TP.Vinh</t>
  </si>
  <si>
    <t>0114/NA-GPHĐ</t>
  </si>
  <si>
    <t>PHÒNG KHÁM BỆNH MẮT TƯ NHÂN</t>
  </si>
  <si>
    <t>Phạm Văn Tỵ</t>
  </si>
  <si>
    <t>Xóm 3- Xã Nghi Phú- TP.Vinh</t>
  </si>
  <si>
    <t>0116/NA-GPHĐ</t>
  </si>
  <si>
    <t>Nguyễn Kim Nhật</t>
  </si>
  <si>
    <t>Khối 7- P. Lê Lợi- TP. Vinh</t>
  </si>
  <si>
    <t>0117/NA-GPHĐ</t>
  </si>
  <si>
    <t>PHÒNG KHÁM BỆNH NỘI KHOA  TƯ NHÂN HỒNG SƠN</t>
  </si>
  <si>
    <t>Nguyên Hồng Sơn</t>
  </si>
  <si>
    <t>Khối 4- Thị trấn Tân Lạc- Quỳ Châu</t>
  </si>
  <si>
    <t>0119/NA-GPHĐ</t>
  </si>
  <si>
    <t>Lê Ngọc Quỳnh</t>
  </si>
  <si>
    <t>Số nhà 25- Đ. Nguyễn Vĩnh Lộc- TP.Vinh</t>
  </si>
  <si>
    <t>0120/NA-GPHĐ</t>
  </si>
  <si>
    <t>Lê Thị Hằng</t>
  </si>
  <si>
    <t>Số nhà A04- Chung cư Hưng Lộc- TP.Vinh</t>
  </si>
  <si>
    <t>0121/NA-GPHĐ</t>
  </si>
  <si>
    <t>Đinh Thị Cung</t>
  </si>
  <si>
    <t>Số nhà 15/Ngõ 78- Đ. Lê Hồng Phong- TP.Vinh</t>
  </si>
  <si>
    <t>0122/NA-GPHĐ</t>
  </si>
  <si>
    <t>Nguyễn Thị Kim Mơi</t>
  </si>
  <si>
    <t>Số nhà 11- Đ. Tôn Thất Tùng- TP.Vinh</t>
  </si>
  <si>
    <t>0123/NA-GPHĐ</t>
  </si>
  <si>
    <t>PHÒNG KHÁM BỆNH NỘI KHOA  TƯ NHÂN HỒNG PHÚC</t>
  </si>
  <si>
    <t>Hoàng Tiến Nam</t>
  </si>
  <si>
    <t>Số nhà 30- Đ. Nguyễn Xí- TX. Cửa Lò</t>
  </si>
  <si>
    <t>0125/NA-GPHĐ</t>
  </si>
  <si>
    <t>PHÒNG KHÁM BỆNH SẢN PHỤ KHOA TƯ NHÂN 24</t>
  </si>
  <si>
    <t>Hoàng Quốc Kiều</t>
  </si>
  <si>
    <t>Khối Yên Vinh- P. Hưng Phúc- TP.Vinh</t>
  </si>
  <si>
    <t>0133/NA-GPHĐ</t>
  </si>
  <si>
    <t>PHÒNG KHÁM BỆNH MẮT  TƯ NHÂN</t>
  </si>
  <si>
    <t>Nguyễn Hồng Hải</t>
  </si>
  <si>
    <t>Khối Kim Tân-P. Hòa Hiếu- TX. Thái Hòa</t>
  </si>
  <si>
    <t>0134/NA-GPHĐ</t>
  </si>
  <si>
    <t>Nguyễn Đình Tuấn</t>
  </si>
  <si>
    <t>0135/NA-GPHĐ</t>
  </si>
  <si>
    <t>Hoàng Văn Đán</t>
  </si>
  <si>
    <t>Số nhà 289- Đ. Nguyễn Văn Cừ- TP.Vinh</t>
  </si>
  <si>
    <t xml:space="preserve">0941/NA-GPHĐ </t>
  </si>
  <si>
    <t>PHÒNG CHẨN TRỊ Y HỌC CỔ TRUYỀN TƯ NHÂNTHĂNG DŨNG</t>
  </si>
  <si>
    <t>Bửu Thắng</t>
  </si>
  <si>
    <t>Khối 7- Thị trấn huyện Tân Kỳ</t>
  </si>
  <si>
    <t>0139/NA-GPHĐ</t>
  </si>
  <si>
    <t>Nguyễn Hữu Du</t>
  </si>
  <si>
    <t>Xóm 17- Xã Nghi Trung- Nghi Lộc</t>
  </si>
  <si>
    <t>0140/NA-GPHĐ</t>
  </si>
  <si>
    <t>Sầm Văn Nguyên</t>
  </si>
  <si>
    <t>Bản Còn- Xã Châu Quang- Quỳ Hợp</t>
  </si>
  <si>
    <t>0141/NA-GPHĐ</t>
  </si>
  <si>
    <t>PHÒNG KHÁM BỆNH NHI KHOA TƯ NHÂN SƠN HƯỜNG</t>
  </si>
  <si>
    <t>Nguyễn Văn Sơn</t>
  </si>
  <si>
    <t>Số 29- Đ. Nguyễn Sỹ Quế- TP.Vinh</t>
  </si>
  <si>
    <t>0143/NA-GPHĐ</t>
  </si>
  <si>
    <t>PHÒNG KHÁM BỆNH RĂNG-HÀM-MẶT TƯ NHÂN THÁI HÒA</t>
  </si>
  <si>
    <t>Nguyễn Thị Thái Hòa</t>
  </si>
  <si>
    <t>K. Tân Thành- P. Hòa Hiếu- Tx. Thái Hòa</t>
  </si>
  <si>
    <t>0145/NA-GPHĐ</t>
  </si>
  <si>
    <t>Hồ Hữu Sơn</t>
  </si>
  <si>
    <t>Số 53- Đ. Lênin- TP.Vinh</t>
  </si>
  <si>
    <t>0146/NA-GPHĐ</t>
  </si>
  <si>
    <t>PHÒNG CHẨN ĐOÁN HÌNH ẢNH  TƯ NHÂN</t>
  </si>
  <si>
    <t>Nguyễn Trọng Tấn</t>
  </si>
  <si>
    <t>Xóm Hà Long- xã Vân Diên- Nam Đàn</t>
  </si>
  <si>
    <t>0147/NA-GPHĐ</t>
  </si>
  <si>
    <t>PHÒNG KHÁM BỆNH SẢN PHỤ KHOA TƯ NHÂN TRƯỜNG LIÊN</t>
  </si>
  <si>
    <t>Dương Văn Trường</t>
  </si>
  <si>
    <t>K. Tây Hồ 1- P. Quang Tiến- Tx. Thái Hòa</t>
  </si>
  <si>
    <t>0149/NA-GPHĐ</t>
  </si>
  <si>
    <t>DỊCH VỤ TRỒNG RĂNG GIẢ TƯ NHÂN</t>
  </si>
  <si>
    <t>Trần Ngọc Hùng</t>
  </si>
  <si>
    <t>Số 57- Đ. Nguyễn Thái Học- TP.Vinh</t>
  </si>
  <si>
    <t>0154/NA-GPHĐ</t>
  </si>
  <si>
    <t>PHÒNG KHÁM BỆNH NỘI KHOA LAO VÀ BỆNH PHỔI</t>
  </si>
  <si>
    <t>Phan Văn Đệ</t>
  </si>
  <si>
    <t>Xóm 6- xã Diễn Thái- Diễn Châu</t>
  </si>
  <si>
    <t>0155/NA-GPHĐ</t>
  </si>
  <si>
    <t>PHÒNG KHÁM BỆNH NỘI KHOA  TƯ NHÂN</t>
  </si>
  <si>
    <t>Hồ Sỹ Thân</t>
  </si>
  <si>
    <t>Chợ xã Nghĩa Hội- Nghĩa Đàn</t>
  </si>
  <si>
    <t>0156/NA-GPHĐ</t>
  </si>
  <si>
    <t>Lê Duy Cường</t>
  </si>
  <si>
    <t>Số 53- Đ. Đào Tấn- TP.Vinh</t>
  </si>
  <si>
    <t>0159/NA-GPHĐ</t>
  </si>
  <si>
    <t>Nguyễn Thị Quế</t>
  </si>
  <si>
    <t>Xóm 12- Quỳnh Hậu- Quỳnh Lưu</t>
  </si>
  <si>
    <t>0160/NA-GPHĐ</t>
  </si>
  <si>
    <t>PHÒNG KHÁM BỆNH SẢN PHỤ KHOA TƯ NHÂN HÀ HẢO</t>
  </si>
  <si>
    <t>Nguyễn Thanh Hảo</t>
  </si>
  <si>
    <t>Thôn 10- xã Sơn Hải- Quỳnh Lưu</t>
  </si>
  <si>
    <t>0161/NA-GPHĐ</t>
  </si>
  <si>
    <t>PHÒNG CHẨN ĐOÁN HÌNH ẢNH TƯ NHÂN</t>
  </si>
  <si>
    <t>Nguyễn Thị Trang</t>
  </si>
  <si>
    <t>Số 34- Đ. Nguyễn Đức Cảnh- TP.Vinh</t>
  </si>
  <si>
    <t>0165/NA-GPHĐ</t>
  </si>
  <si>
    <t>Hoàng Đình Minh</t>
  </si>
  <si>
    <t>Số 151- Đ. Lê Lợi- TP.Vinh</t>
  </si>
  <si>
    <t>0167/NA-GPHĐ</t>
  </si>
  <si>
    <t>PHÒNG KHÁM BỆNH RĂNG-HÀM-MẶT TƯ NHÂN HOÀNG VŨ</t>
  </si>
  <si>
    <t>Trần Xuân Ngà</t>
  </si>
  <si>
    <t>Khối 5- Thị trấn huyện Diễn Châu</t>
  </si>
  <si>
    <t>0168/NA-GPHĐ</t>
  </si>
  <si>
    <t>Bùi Hồng Thái</t>
  </si>
  <si>
    <t>Xóm 8- Tăng Thành- Yên Thành</t>
  </si>
  <si>
    <t>0169/NA-GPHĐ</t>
  </si>
  <si>
    <t>Nguyễn Sỹ Quyền</t>
  </si>
  <si>
    <t>K. Kim Tân - P. Hòa Hiếu- TX. Thái Hòa</t>
  </si>
  <si>
    <t>0174/NA-GPHĐ</t>
  </si>
  <si>
    <t>PHÒNG KHÁM BỆNH NỘI KHOA TƯ NHÂN</t>
  </si>
  <si>
    <t>Nguyễn Thị Thu Hường</t>
  </si>
  <si>
    <t>Khối 7- Thị trấn Tân Kỳ- H. Tân Kỳ</t>
  </si>
  <si>
    <t>0179/NA-GPHĐ</t>
  </si>
  <si>
    <t>Cao Xuân Hải</t>
  </si>
  <si>
    <t>K. Kim Tân- P. Hòa Hiếu- TX. Thái Hòa</t>
  </si>
  <si>
    <t>0183/NA-GPHĐ</t>
  </si>
  <si>
    <t>PHÒNG KHÁM BỆNH NGOẠI KHOA TƯ NHÂN KHANG CHI</t>
  </si>
  <si>
    <t>Hoàng Cảnh Tùng</t>
  </si>
  <si>
    <t>Khối 4. Thị trấn Quán Hành- Nghi Lộc</t>
  </si>
  <si>
    <t>0185/NA-GPHĐ</t>
  </si>
  <si>
    <t>PHÒNG KHÁM BỆNH RĂNG MIỆNG TN</t>
  </si>
  <si>
    <t>Nguyễn Văn Nam</t>
  </si>
  <si>
    <t>Số nhà 273- Đ. Hà Huy Tập- TP.Vinh</t>
  </si>
  <si>
    <t>0040/NA-GPHĐ</t>
  </si>
  <si>
    <t>PHÒNG KHÁM BỆNH NHI KHOA TƯ NHÂN</t>
  </si>
  <si>
    <t>Lâm Văn Trà</t>
  </si>
  <si>
    <t>Số nhà 135B- Đ. Văn Đức Giai- TP.Vinh</t>
  </si>
  <si>
    <t>0189/NA-GPHĐ</t>
  </si>
  <si>
    <t>PHÒNG KHÁM BỆNH DA LIỄU TN ĐỨC ĐĂNG</t>
  </si>
  <si>
    <t>Nguyễn Thái Dũng</t>
  </si>
  <si>
    <t>Số nhà 42- Đ. Vương Thúc Mậu- TP.Vinh</t>
  </si>
  <si>
    <t>0190/NA-GPHĐ</t>
  </si>
  <si>
    <t>Vũ Thị Chín</t>
  </si>
  <si>
    <t>K. Quang Trung-P.Quang Tiến-Tx.Thái Hòa</t>
  </si>
  <si>
    <t>0184/NA-GPHĐ</t>
  </si>
  <si>
    <t>Nguyễn Thị Hoa</t>
  </si>
  <si>
    <t>Số nhà 51- Đ. Nguyễn Phong Sắc- TP.Vinh</t>
  </si>
  <si>
    <t>0193/NA-GPHĐ</t>
  </si>
  <si>
    <t>PHÒNG KHÁM BỆNH SẢN PHỤ KHOA TƯ NHÂN DŨNG YẾN</t>
  </si>
  <si>
    <t>Nguyễn Thị Hải Yến</t>
  </si>
  <si>
    <t>Khối 6A- Thị trấn huyện Anh Sơn</t>
  </si>
  <si>
    <t>0195/NA-GPHĐ</t>
  </si>
  <si>
    <t>PHÒNG KHÁM BỆNH NỘI KHOA TỔNG HỢP  TƯ NHÂN 148</t>
  </si>
  <si>
    <t>Nguyễn Xuân Phúc</t>
  </si>
  <si>
    <t>Số nhà 148- Đ. Nguyễn Phong Sắc- TP.Vinh</t>
  </si>
  <si>
    <t>0196/NA-GPHĐ</t>
  </si>
  <si>
    <t xml:space="preserve">PHÒNG KHÁM BỆNH DA LIỄU TƯ NHÂN  </t>
  </si>
  <si>
    <t>Kiều Ngọc Đức</t>
  </si>
  <si>
    <t>Số nhà 22- Đ. Nguyễn Phong Sắc- TP.Vinh</t>
  </si>
  <si>
    <t>0199/NA-GPHĐ</t>
  </si>
  <si>
    <t>PHÒNG KHÁM BỆNH DA LIỄU TƯ NHÂN</t>
  </si>
  <si>
    <t>Nguyễn Thị Mận</t>
  </si>
  <si>
    <t>Số nhà 12- Đ. Lê Viết Thuật- TP.Vinh</t>
  </si>
  <si>
    <t>0200/NA-GPHĐ</t>
  </si>
  <si>
    <t>PHÒNG KHÁM BỆNH RĂNG-HÀM-MẶT TN</t>
  </si>
  <si>
    <t>Nguyễn Đức Cương</t>
  </si>
  <si>
    <t>Xóm 6- xã Quỳnh Hồng- Quỳnh Lưu</t>
  </si>
  <si>
    <t>0206/NA-GPHĐ</t>
  </si>
  <si>
    <t>PHÒNG KHÁM RĂNG-H-MẶT TN NHẬT MINH</t>
  </si>
  <si>
    <t>Đặng Trung Sỹ</t>
  </si>
  <si>
    <t>K.16- P.Quỳnh Xuân- Tx.Hoàng Mai</t>
  </si>
  <si>
    <t>0207/NA-GPHĐ</t>
  </si>
  <si>
    <t>Nguyễn Thanh Hải</t>
  </si>
  <si>
    <t>Xóm 01- xã Hưng Phúc- Hưng Nguyên</t>
  </si>
  <si>
    <t>0210/NA-GPHĐ</t>
  </si>
  <si>
    <t>PHÒNG KHÁM SẢN  KHOA TN BSQUY</t>
  </si>
  <si>
    <t>Phan Thị Quy</t>
  </si>
  <si>
    <t xml:space="preserve">Thôn Quỳnh Long, Xã Quỳnh Hồng, Quỳnh </t>
  </si>
  <si>
    <t>0072/NA-GPHĐ</t>
  </si>
  <si>
    <t xml:space="preserve">PHÒNG CHẨN TRỊ Y HỌC CỔ TRUYỀN TƯ NHÂN  </t>
  </si>
  <si>
    <t>Vũ Trọng Diến</t>
  </si>
  <si>
    <t>Xóm Hiệp 3- xã Nghĩa Liên- Nghĩa Đàn</t>
  </si>
  <si>
    <t>0212/NA-GPHĐ</t>
  </si>
  <si>
    <t>Hoàng Đức Tiến</t>
  </si>
  <si>
    <t>Thị tứ Tân Thành- Yên Thành</t>
  </si>
  <si>
    <t>0213/NA-GPHĐ</t>
  </si>
  <si>
    <t>Nguyễn Thanh Hiên</t>
  </si>
  <si>
    <t>0214/NA-GPHĐ</t>
  </si>
  <si>
    <t>Phạm Ngọc Châu</t>
  </si>
  <si>
    <t>0215/NA-GPHĐ</t>
  </si>
  <si>
    <t>Dương Thị Quỳnh Hoa</t>
  </si>
  <si>
    <t>K. Tân Thành- P. Hòa Hiếu- TX. Thái Hòa</t>
  </si>
  <si>
    <t>0216/NA-GPHĐ</t>
  </si>
  <si>
    <t>Pham Thị Hà</t>
  </si>
  <si>
    <t>Số 10- Đ. Phan Bội Châu- TP. Vinh</t>
  </si>
  <si>
    <t>0217/NA-GPHĐ</t>
  </si>
  <si>
    <t xml:space="preserve">PHÒNG KHÁM BỆNH RĂNG-HÀM-MẶT TƯ NHÂN  </t>
  </si>
  <si>
    <t>Hoàng Sửu</t>
  </si>
  <si>
    <t>Số 02/ngõ 01- Đ. Đốc Thiết- TP.Vinh</t>
  </si>
  <si>
    <t>0218/NA-GPHĐ</t>
  </si>
  <si>
    <t>Nguyễn Trọng Chung</t>
  </si>
  <si>
    <t>X. Trung Minh-xã Minh Sơn- Đô Lương</t>
  </si>
  <si>
    <t>0219/NA-GPHĐ</t>
  </si>
  <si>
    <t>PHÒNG KHÁM BỆNH NGOẠI KHOA TƯ NHÂN  MINH NGỌC</t>
  </si>
  <si>
    <t>Phan Minh Ngọc</t>
  </si>
  <si>
    <t>Số nhà 156-Đ. Phong Định Cảng- TP.Vinh</t>
  </si>
  <si>
    <t>0221/NA-GPHĐ</t>
  </si>
  <si>
    <t>PHÒNG KHÁM BỆNH NỘI KHOA TƯ NHÂN AN SANG</t>
  </si>
  <si>
    <t>Trần Văn Huân</t>
  </si>
  <si>
    <t>Số nhà 02-Đ. Nguyễn Viết Xuân- TP.Vinh</t>
  </si>
  <si>
    <t>0222/NA-GPHĐ</t>
  </si>
  <si>
    <t>Nguyễn Thị Hồng</t>
  </si>
  <si>
    <t>Số 69A- Đ. Đinh Lễ- TP.Vinh</t>
  </si>
  <si>
    <t>0223/NA-GPHĐ</t>
  </si>
  <si>
    <t>PHÒNG KHÁM BỆNH NỘI KHOA TƯ NHÂN LIÊN BẰNG</t>
  </si>
  <si>
    <t>Phan Thị Liên</t>
  </si>
  <si>
    <t>Xóm 4- Quỳnh Hồng- Quỳnh Lưu</t>
  </si>
  <si>
    <t>0225/NA-GPHĐ</t>
  </si>
  <si>
    <t>PHÒNG KHÁM BỆNH NỘI KHOA TƯ NHÂN AN THỊNH</t>
  </si>
  <si>
    <t>Thái Khắc Ty</t>
  </si>
  <si>
    <t>X.Liên Chung-xã Phong Thịnh- Thanh Chương</t>
  </si>
  <si>
    <t>0226/NA-GPHĐ</t>
  </si>
  <si>
    <t>PHÒNG CHẨN TRỊ Y HỌC CỔ TRUYỀN TƯ NHÂN</t>
  </si>
  <si>
    <t>Trần Thị Hiếu</t>
  </si>
  <si>
    <t>Xóm 7- xã Nghi Phú- TP.Vinh</t>
  </si>
  <si>
    <t>0211/NA-GPHĐ</t>
  </si>
  <si>
    <t>PHÒNG KHÁM BỆNH NỘI KHOA TƯ NHÂN VIỆT HOÀNG</t>
  </si>
  <si>
    <t>Nguyễn Thế Tùng</t>
  </si>
  <si>
    <t>K.4- Thị trấn Quán Hành- Nghi Lộc</t>
  </si>
  <si>
    <t>0228/NA-GPHĐ</t>
  </si>
  <si>
    <t>PHÒNG KHÁM BỆNH NỘI KHOA TƯ NHÂN LÊ VĂN VIỆT</t>
  </si>
  <si>
    <t>Lê Hữu Khẩn</t>
  </si>
  <si>
    <t>Xóm 2- xã Đỉnh Sơn- Anh Sơn</t>
  </si>
  <si>
    <t>0230/NA-GPHĐ</t>
  </si>
  <si>
    <t>PHÒNG KHÁM BỆNH NỘI KHOA TƯ NHÂN TOÀN LINH</t>
  </si>
  <si>
    <t>Trần Đình Nhường</t>
  </si>
  <si>
    <t>Xóm 03- Xã Nghi Đức- TP.Vinh</t>
  </si>
  <si>
    <t>0231/NA-GPHĐ</t>
  </si>
  <si>
    <t>PHÒNG KHÁM BỆNH SẢN PHỤ KHOA TƯ NHÂN NGỌC LINH</t>
  </si>
  <si>
    <t>Trần Quốc Toản</t>
  </si>
  <si>
    <t>Số 01- Đ.Lê Viết Thuật- TP.Vinh</t>
  </si>
  <si>
    <t>0232/NA-GPHĐ</t>
  </si>
  <si>
    <t>PHÒNG KHÁM BỆNH SẢN PHỤ KHOA TƯ NHÂN LAN LÂM</t>
  </si>
  <si>
    <t>Lương Thị Lan</t>
  </si>
  <si>
    <t>Số 02/Ng 01- Đ. Nguyễn Sỹ Quế- TP.Vinh</t>
  </si>
  <si>
    <t>0233/NA-GPHĐ</t>
  </si>
  <si>
    <t>Nguyễn Thị Nga</t>
  </si>
  <si>
    <t>Xóm 12- Đà Sơn- Đô Lương</t>
  </si>
  <si>
    <t>0234/NA-GPHĐ</t>
  </si>
  <si>
    <t>PHÒNG KHÁM BỆNH RĂNG MIỆNG TƯ NHÂN</t>
  </si>
  <si>
    <t>Vũ Văn Đồng</t>
  </si>
  <si>
    <t>Số 45- Đ. Nguyễn Đức Cảnh- TP.Vinh</t>
  </si>
  <si>
    <t>0235/NA-GPHĐ</t>
  </si>
  <si>
    <t>DỊCH VỤ TRỒNG RĂNG GIẢ TƯ NHÂN BÌNH HUYỀN</t>
  </si>
  <si>
    <t>Đinh Văn Bình</t>
  </si>
  <si>
    <t>Khối 02- Thị trấn Cầu Giát- Quỳnh Lưu</t>
  </si>
  <si>
    <t>0236/NA-GPHĐ</t>
  </si>
  <si>
    <t>Nguyễn Văn Lục</t>
  </si>
  <si>
    <t>Số 48- Đ. Herman- TP. Vinh</t>
  </si>
  <si>
    <t>0238/NA-GPHĐ</t>
  </si>
  <si>
    <t>PHÒNG CHẨN TRỊ Y HỌC CỔ TRUYỀN TƯ NHÂN  DÙNG THANH</t>
  </si>
  <si>
    <t>Trần Thị Minh Thanh</t>
  </si>
  <si>
    <t>Số 102- Đ. Hồng Bàng- TP. Vinh</t>
  </si>
  <si>
    <t>0239/NA-GPHĐ</t>
  </si>
  <si>
    <t>Hồ Văn Phúc</t>
  </si>
  <si>
    <t>K.Hải Thanh-P.Ngư Hải-TX.Cửa Lò</t>
  </si>
  <si>
    <t>0240/NA-GPHĐ</t>
  </si>
  <si>
    <t>Nguyễn Minh Tuấn</t>
  </si>
  <si>
    <t>Khối 02- Thị trấn Tân Kỳ- H. Tân Kỳ</t>
  </si>
  <si>
    <t>0244/NA-GPHĐ</t>
  </si>
  <si>
    <t>Nguyễn Văn Linh</t>
  </si>
  <si>
    <t>Số 07- Đ. Nguyễn Thái Học- TP.Vinh</t>
  </si>
  <si>
    <t>0246/NA-GPHĐ</t>
  </si>
  <si>
    <t>Nguyễn Công Châu</t>
  </si>
  <si>
    <t>Xóm Xuân Trang- Xã Nghi Xuân- Nghi Lộc</t>
  </si>
  <si>
    <t>0247/NA-GPHĐ</t>
  </si>
  <si>
    <t>PHÒNG KHÁM BỆNH SẢN PHỤ KHOA-KẾ HOẠCH HÓA GIA ĐÌNH</t>
  </si>
  <si>
    <t>Số 24- Đ. Phan Đình Phùng- TP.Vinh</t>
  </si>
  <si>
    <t>0248/NA-GPHĐ</t>
  </si>
  <si>
    <t>PHÒNG KHÁM BỆNH NỘI KHOA TƯ NHÂN HINH CÚC</t>
  </si>
  <si>
    <t>Bùi Thị Thu Cúc</t>
  </si>
  <si>
    <t>Số nhà 07/Ngõ5-Đ. Trần Bình Trọng- TP.Vinh</t>
  </si>
  <si>
    <t>0251/NA-GPHĐ</t>
  </si>
  <si>
    <t>PHÒNG KHÁM BỆNH RĂNG-HÀM-MẶT TƯ NHÂN  THU HIỀN</t>
  </si>
  <si>
    <t>Hồ Thị Thu Hiền</t>
  </si>
  <si>
    <t>Số 198- Đ. Hồng Bàng- TP.Vinh</t>
  </si>
  <si>
    <t>0252/NA-GPHĐ</t>
  </si>
  <si>
    <t>Trần Ngọc Tiến</t>
  </si>
  <si>
    <t>Số 337- Đ. Nguyễn Trãi- TP.Vinh</t>
  </si>
  <si>
    <t>0253/NA-GPHĐ</t>
  </si>
  <si>
    <t>Xóm 02- Tăng Thành- Yên Thành</t>
  </si>
  <si>
    <t>0254/NA-GPHĐ</t>
  </si>
  <si>
    <t>Nguyễn Trí Năm</t>
  </si>
  <si>
    <t>Khối 9- Thị trấn huyện Thanh Chương</t>
  </si>
  <si>
    <t>0270/NA-GPHĐ</t>
  </si>
  <si>
    <t>PHÒNG KHÁM BỆNH RĂNG-HÀM-MẶT TƯ NHÂN  VIỆT ÂU</t>
  </si>
  <si>
    <t>Nguyễn Hữu Trung</t>
  </si>
  <si>
    <t>Số 68- Đ. Lê Viết Thuật- TP.Vinh</t>
  </si>
  <si>
    <t>0271/NA-GPHĐ</t>
  </si>
  <si>
    <t xml:space="preserve">PHÒNG KHÁM BỆNH MẮT TƯ NHÂN  </t>
  </si>
  <si>
    <t>Hồ Đức Hùng</t>
  </si>
  <si>
    <t>Khối 7- Thị trấn Cầu Giát- Quỳnh Lưu</t>
  </si>
  <si>
    <t>0274/NA-GPHĐ</t>
  </si>
  <si>
    <t>Nguyễn Thị Thuận</t>
  </si>
  <si>
    <t>Số 68- Đ. Đặng Thái Thân- TP.Vinh</t>
  </si>
  <si>
    <t>0275/NA-GPHĐ</t>
  </si>
  <si>
    <t>PHÒNG KHÁM BỆNH RĂNG-HÀM-MẶT TƯ NHÂN  DUY ANH</t>
  </si>
  <si>
    <t>Nguyễn Hồng Lĩnh</t>
  </si>
  <si>
    <t>Số 175- Đ. Lê Viết Thuật- TP.Vinh</t>
  </si>
  <si>
    <t>0279/NA-GPHĐ</t>
  </si>
  <si>
    <t>Nguyễn Thị Hằng</t>
  </si>
  <si>
    <t>Xóm Mậu 3- xã Kim Liên- Nam Đàn</t>
  </si>
  <si>
    <t>0280/NA-GPHĐ</t>
  </si>
  <si>
    <t>PHÒNG KHÁM BỆNH NỘI KHOA TƯ NHÂN LINH HIỂN</t>
  </si>
  <si>
    <t>Đặng Trọng Hiển</t>
  </si>
  <si>
    <t>Xóm 8- Xã Tăng Thành- Yên Thành</t>
  </si>
  <si>
    <t>0285/NA-GPHĐ</t>
  </si>
  <si>
    <t>Nguyễn Thị Thanh</t>
  </si>
  <si>
    <t>Số 146- Đ. Nguyễn Phong Sắc- TP.Vinh</t>
  </si>
  <si>
    <t>0151/NA-GPHĐ</t>
  </si>
  <si>
    <t>Nguyễn Thị Cẩm Giang</t>
  </si>
  <si>
    <t>Xóm 7- Quỳnh Hồng- Quỳnh Lưu</t>
  </si>
  <si>
    <t>0289/NA-GPHĐ</t>
  </si>
  <si>
    <t>DỊCH VỤ KÍNH THUỐC TƯ NHÂN TOẢN HÀ</t>
  </si>
  <si>
    <t>Nguyễn Cảnh Toản</t>
  </si>
  <si>
    <t>Xóm 19- Xã Quỳnh Vinh- TX. Hoàng Mai</t>
  </si>
  <si>
    <t>0290/NA-GPHĐ</t>
  </si>
  <si>
    <t>DỊCH VỤ KÍNH THUỐC TƯ NHÂN</t>
  </si>
  <si>
    <t>Lưu Đức Hạnh</t>
  </si>
  <si>
    <t>Khối 2- TT Cầu Giát- Quỳnh Lưu</t>
  </si>
  <si>
    <t>0291/NA-GPHĐ</t>
  </si>
  <si>
    <t>Trần Thị Thu Thảo</t>
  </si>
  <si>
    <t>Xóm Chợ- Xã Nghi Vạn- Nghi Lộc</t>
  </si>
  <si>
    <t>0292/NA-GPHĐ</t>
  </si>
  <si>
    <t>Nguyễn Anh Tú</t>
  </si>
  <si>
    <t>Xóm Xuân Sơn- Xã Nghi Xuân- Nghi Lộc</t>
  </si>
  <si>
    <t>0293/NA-GPHĐ</t>
  </si>
  <si>
    <t>PHÒNG CHẨN ĐOÁN HÌNH ẢNH SIÊU ÂM  TƯ NHÂN</t>
  </si>
  <si>
    <t>Trần Thị Nhã</t>
  </si>
  <si>
    <t>Xóm Mậu 5- xã Kim Liên- Nam Đàn</t>
  </si>
  <si>
    <t>0294/NA-GPHĐ</t>
  </si>
  <si>
    <t>Nguyễn Đình Giang</t>
  </si>
  <si>
    <t>Số 181- Đ. Phan Chu Trinh- TP.Vinh</t>
  </si>
  <si>
    <t>0295/NA-GPHĐ</t>
  </si>
  <si>
    <t>PHÒNG KHÁM BỆNH RĂNG-HÀM-MẶT TƯ NHÂN TÂM ĐỨC</t>
  </si>
  <si>
    <t>Hồ Văn Lưu</t>
  </si>
  <si>
    <t>Khối Nam- xã Diễn Hồng- Diễn Châu</t>
  </si>
  <si>
    <t>0382/NA-GPHĐ</t>
  </si>
  <si>
    <t>Bùi Đăng Phượng</t>
  </si>
  <si>
    <t>Khối 02- TT Mường Xén- Kỳ Sơn</t>
  </si>
  <si>
    <t xml:space="preserve">0384/NA-GPHĐ    </t>
  </si>
  <si>
    <t>Thái Bá Quý</t>
  </si>
  <si>
    <t>Khối 04- Thị trấn Diễn Châu- Diễn Châu</t>
  </si>
  <si>
    <t xml:space="preserve">0386/NA-GPHĐ    </t>
  </si>
  <si>
    <t>Trần Thị Thu Trang</t>
  </si>
  <si>
    <t>Số 11-Ngõ Chung cư khối 3-P.Đội Cung- TP.Vinh</t>
  </si>
  <si>
    <t>0388/NA-GPHĐ</t>
  </si>
  <si>
    <t>PHÒNG KHÁM BỆNH RĂNG-HÀM-MẶT TƯ NHÂN BÌNH MINH</t>
  </si>
  <si>
    <t>Hoàng Xuân Long</t>
  </si>
  <si>
    <t>Số 8A- Đ. Nguyễn Xí- TX. Cửa Lò</t>
  </si>
  <si>
    <t xml:space="preserve">0389/NA-GPHĐ    </t>
  </si>
  <si>
    <t>Nguyễn Bá Luyện</t>
  </si>
  <si>
    <t>K.Thịnh Mỹ-Quỳnh Thiện-TxHoàng Mai</t>
  </si>
  <si>
    <t>0391/NA-GPHĐ</t>
  </si>
  <si>
    <t>Nguyễn Thái Thế</t>
  </si>
  <si>
    <t>Xóm 4- Xã Hoa Thành- Yên Thành</t>
  </si>
  <si>
    <t>0392/NA-GPHĐ</t>
  </si>
  <si>
    <t>Cao Hữu Nghĩa</t>
  </si>
  <si>
    <t>Số 107- Đ. Kim Liên- TP. Vinh</t>
  </si>
  <si>
    <t>0394/NA-GPHĐ</t>
  </si>
  <si>
    <t>Nguyễn Văn Phổ</t>
  </si>
  <si>
    <t>Chợ Ga Vinh- P. Lê Lợi- TP. Vinh</t>
  </si>
  <si>
    <t xml:space="preserve">0395/NA-GPHĐ   </t>
  </si>
  <si>
    <t>Nguyễn Thị Mỹ Dung</t>
  </si>
  <si>
    <t>Chợ Quán Lau- P. Trường Thi- TP. Vinh</t>
  </si>
  <si>
    <t>0396/NA-GPHĐ</t>
  </si>
  <si>
    <t>Nguyễn Chính Cương</t>
  </si>
  <si>
    <t>Số 348- Đ. Nguyễn Trãi- TP. Vinh</t>
  </si>
  <si>
    <t>0397/NA-GPHĐ</t>
  </si>
  <si>
    <t xml:space="preserve">PHÒNG KHÁM BỆNH TAI-MŨI-HỌNG TƯ NHÂN  </t>
  </si>
  <si>
    <t>Trần Thị Nga</t>
  </si>
  <si>
    <t>Số 184- Đ. Nguyễn Văn Cừ- TP.Vinh</t>
  </si>
  <si>
    <t xml:space="preserve">0423/NA-GPHĐ    </t>
  </si>
  <si>
    <t>Sầm Nga Đích</t>
  </si>
  <si>
    <t xml:space="preserve">0424/NA-GPHĐ    </t>
  </si>
  <si>
    <t>Nguyễn Thị Quảng</t>
  </si>
  <si>
    <t>Xóm Minh Xuân- Minh Hợp- Quỳ Hợp</t>
  </si>
  <si>
    <t xml:space="preserve">0426/NA-GPHĐ    </t>
  </si>
  <si>
    <t>Hoàng Thế Thọ</t>
  </si>
  <si>
    <t>Số 01/ngõ 22- Đ.Lê Viết Thuật- TP. Vinh</t>
  </si>
  <si>
    <t xml:space="preserve">0428/NA-GPHĐ    </t>
  </si>
  <si>
    <t>Nguyễn Văn Vũ</t>
  </si>
  <si>
    <t>Khu đô thị Vườn xanh- Thị trấn Đô Lương</t>
  </si>
  <si>
    <t xml:space="preserve">0429/NA-GPHĐ    </t>
  </si>
  <si>
    <t>PHÒNG KHÁM BỆNH SỐT RÉT-KÝ SINH TRÙNG</t>
  </si>
  <si>
    <t>Nguyễn Thị Lam</t>
  </si>
  <si>
    <t>Số 6/Ngõ 28- Đ. Bùi Huy Bích- TP.Vinh</t>
  </si>
  <si>
    <t>1282/NA-GPHĐ</t>
  </si>
  <si>
    <t>PHÒNG KHÁM BỆNH NỘI KHOA  TƯ NHÂN THÔNG BÌNH</t>
  </si>
  <si>
    <t>Nguyễn Trần Thông</t>
  </si>
  <si>
    <t>K. 09- Th.tr Thanh Chương-Thanh Chương</t>
  </si>
  <si>
    <t>0505/NA-GPHĐ</t>
  </si>
  <si>
    <t>Lê Văn Hùng</t>
  </si>
  <si>
    <t>Xóm 13- xã Nghĩa Thuận- TX. Thái Hòa</t>
  </si>
  <si>
    <t>0513/NA-GPHĐ</t>
  </si>
  <si>
    <t xml:space="preserve">PHÒNG KHÁM PHẪU THUẬT THẨM MỸ TƯ NHÂN  </t>
  </si>
  <si>
    <t>Phan Sáu</t>
  </si>
  <si>
    <t>T1+2. nhà 148- Đ. Nguyễn Văn Cừ- TP.Vinh</t>
  </si>
  <si>
    <t>0516/NA-GPHĐ</t>
  </si>
  <si>
    <t xml:space="preserve">PHÒNG  XÉT NGHIỆM  TƯ NHÂN HÀ NỘI-SH  </t>
  </si>
  <si>
    <t>Hồ Sỹ Đình</t>
  </si>
  <si>
    <t>Xóm 10 – Xã Sơn Hải- Quỳnh Lưu</t>
  </si>
  <si>
    <t>0517/NA-GPHĐ</t>
  </si>
  <si>
    <t>PHÒNG KHÁM BỆNH NỘI KHOA  TƯ NHÂN HÀ NỘI-SH</t>
  </si>
  <si>
    <t>Hồ Sỹ Dương</t>
  </si>
  <si>
    <t>0518/NA-GPHĐ</t>
  </si>
  <si>
    <t>PHÒNG KHÁM BỆNH RĂNG-HÀM-MẶT TƯ NHÂN HIỀN LƯƠNG</t>
  </si>
  <si>
    <t>Phạm Thị Hiền Lương</t>
  </si>
  <si>
    <t>Số 43- Đ. Tôn Thất Tùng- TP.Vinh</t>
  </si>
  <si>
    <t>0520/NA-GPHĐ</t>
  </si>
  <si>
    <t>Trần Ngọc Hòa</t>
  </si>
  <si>
    <t>Xóm 22-Xã Nghi Trung- Nghi Lộc</t>
  </si>
  <si>
    <t>0521/NA-GPHĐ</t>
  </si>
  <si>
    <t>Trần Thị Thơ</t>
  </si>
  <si>
    <t>Xóm 6- Quỳnh Giang- Quỳnh Lưu</t>
  </si>
  <si>
    <t>0522/NA-GPHĐ</t>
  </si>
  <si>
    <t>Cao Thị Hồng Thuần</t>
  </si>
  <si>
    <t>Khối Bắc Hồ- Thị trấn Quỳ Hợp- h. Quỳ Hợp</t>
  </si>
  <si>
    <t>0651/NA-GPHĐ</t>
  </si>
  <si>
    <t>Trần Thị Thanh</t>
  </si>
  <si>
    <t>Kiot 57+58 Khu B- Chợ Vinh- TP.Vinh</t>
  </si>
  <si>
    <t>0654/NA-GPHĐ</t>
  </si>
  <si>
    <t>PHÒNG KHÁM BỆNH NHI KHOA TƯ NHÂN QUANG HƯNG</t>
  </si>
  <si>
    <t>Nguyễn Thị Thanh Hương</t>
  </si>
  <si>
    <t>Số 16A1- Đ. Tuệ Tĩnh- TP.Vinh</t>
  </si>
  <si>
    <t>0652/NA-GPHĐ</t>
  </si>
  <si>
    <t>Nguyễn Quang Vinh</t>
  </si>
  <si>
    <t>Khối Tân Mai- Thị trấn huện Nghĩa Đàn</t>
  </si>
  <si>
    <t>0737/NA-GPHĐ</t>
  </si>
  <si>
    <t>Hà Xuân Đoàn</t>
  </si>
  <si>
    <t>Xóm Bản Bành- Xã Châu Quang- Quỳ Hợp</t>
  </si>
  <si>
    <t>0734/NA-GPHĐ</t>
  </si>
  <si>
    <t>Khối 5- Quỳnh Xuân- TxHoàng Mai</t>
  </si>
  <si>
    <t>0735/NA-GPHĐ</t>
  </si>
  <si>
    <t>DỊCH VỤ TIÊM CHÍCH, THAY BĂNG MINH LỘC</t>
  </si>
  <si>
    <t>Đậu Thị Lộc</t>
  </si>
  <si>
    <t>K. Trung Hòa- P. Hà Huy Tập- TP.Vinh</t>
  </si>
  <si>
    <t>0736/NA-GPHĐ</t>
  </si>
  <si>
    <t xml:space="preserve">PHÒNG KHÁM BỆNH RĂNG-HÀM-MẶT TƯ NHÂN RĂNG XINH  </t>
  </si>
  <si>
    <t>Trần Sỹ Tân</t>
  </si>
  <si>
    <t>Số 65- Đ. Mai Hắc Đế- TP.Vinh</t>
  </si>
  <si>
    <t>0245/NA-GPHĐ</t>
  </si>
  <si>
    <t>Trần Công Nghĩa</t>
  </si>
  <si>
    <t>Số 178- Đ. Hà Huy Tập- TP.Vinh</t>
  </si>
  <si>
    <t>0127/NA-GPHĐ</t>
  </si>
  <si>
    <t>Chu Thị Kim Anh</t>
  </si>
  <si>
    <t>Số 16-Ngõ 64-  Đ. Nguyễn Sỹ Sách – TP.Vinh</t>
  </si>
  <si>
    <t>0078/NA-GPHĐ</t>
  </si>
  <si>
    <t>PHÒNG KHÁM CHUYÊN KHOA DA LIỄU TƯ NHÂN</t>
  </si>
  <si>
    <t>Phan Ngọc Hoàng</t>
  </si>
  <si>
    <t>Số nhà 59- Đ. Nguyễn Sỹ Sách- TP.Vinh</t>
  </si>
  <si>
    <t>0848/NA-GPHĐ</t>
  </si>
  <si>
    <t>PHÒNG KHÁM BỆNH SẢN PHỤ KHOA TƯ NHÂN BS TUẤN ANH</t>
  </si>
  <si>
    <t>Nguyễn Tuấn Anh</t>
  </si>
  <si>
    <t>Số 299- Đ. Phong Định Cảng- TP.Vinh</t>
  </si>
  <si>
    <t>0164/NA-GPHĐ</t>
  </si>
  <si>
    <t>PHÒNG KHÁM BỆNH SẢN PHỤ KHOA TƯ NHÂN HÀ HẢO 2</t>
  </si>
  <si>
    <t>Văn Đức Lực</t>
  </si>
  <si>
    <t>Xóm 20- Xã Quỳnh Vinh- Quỳnh Lưu</t>
  </si>
  <si>
    <t>0854/NA-GPHĐ</t>
  </si>
  <si>
    <t>PHÒNG KHÁM BỆNH RĂNG-HÀM-MẶT TƯ NHÂN HOÀNG PHONG</t>
  </si>
  <si>
    <t>Nguyễn Tất Thành</t>
  </si>
  <si>
    <t>Xóm 03- Xã Bắc Thành- Yên Thành</t>
  </si>
  <si>
    <t>0850/NA-GPHĐ</t>
  </si>
  <si>
    <t>Trịnh Bá Năng</t>
  </si>
  <si>
    <t>Số 04/Ngõ 04- Đ. Đốc Thiết- TP.Vinh</t>
  </si>
  <si>
    <t>0856/NA-GPHĐ</t>
  </si>
  <si>
    <t>PHÒNG KHÁM BỆNH TAI-MŨI-HỌNG TƯ NHÂN</t>
  </si>
  <si>
    <t>Nguyễn Trọng Tài</t>
  </si>
  <si>
    <t>Số 21/Ngõ 63B- Đ. Nguyễn Đức Cảnh- TP.Vinh</t>
  </si>
  <si>
    <t>0857/NA-GPHĐ</t>
  </si>
  <si>
    <t>PHÒNG  XÉT NGHIỆM  Y KHOA TƯ NHÂN THÀNH VINH</t>
  </si>
  <si>
    <t>Phạm Hồng Thái</t>
  </si>
  <si>
    <t>Số 122 – Đ. Tuệ Tĩnh – TP.Vinh</t>
  </si>
  <si>
    <t>PHÒNG KHÁM BỆNH NỘI KHOA TƯ NHÂN NAM PHỦ DIỄN</t>
  </si>
  <si>
    <t>Thái Thị Thuyết</t>
  </si>
  <si>
    <t>Xóm 8- Xã Diễn Thành- Diễn Châu</t>
  </si>
  <si>
    <t>0859/NA-GPHĐ</t>
  </si>
  <si>
    <t>PHÒNG KHÁM BỆNH NỘI KHOA TƯ NHÂN PHẠM XUÂN PHÁN</t>
  </si>
  <si>
    <t>Phạm Xuân Phán</t>
  </si>
  <si>
    <t>X. Đông Hồ- Đông Hiếu- TxThái Hòa</t>
  </si>
  <si>
    <t>0860/NA-GPHĐ</t>
  </si>
  <si>
    <t>Vi Thị Bích</t>
  </si>
  <si>
    <t>X. Liên Tân- Thọ Hợp- Quỳ Hợp</t>
  </si>
  <si>
    <t>0861/NA-GPHĐ</t>
  </si>
  <si>
    <t>PHÒNG KHÁM BỆNH RĂNG-HÀM-MẶT TƯ NHÂN HỒNG HÀ</t>
  </si>
  <si>
    <t>Nguyễn Đình Khuê</t>
  </si>
  <si>
    <t>X. Hoa Đà 1- Hưng Tây- Hưng Nguyên</t>
  </si>
  <si>
    <t>0862/NA-GPHĐ</t>
  </si>
  <si>
    <t>PHÒNG KHÁM BỆNH NỘI KHOA   TƯ NHÂN AN BẰNG</t>
  </si>
  <si>
    <t>Nguyễn Thị Thu Hà</t>
  </si>
  <si>
    <t>Khối 13- TT Hưng Nguyên- Hưng Nguyên</t>
  </si>
  <si>
    <t>0864/NA-GPHĐ</t>
  </si>
  <si>
    <t>Lê Văn Điệp</t>
  </si>
  <si>
    <t>Xóm 13- Xã Nghi Vạn- Nghi Lộc</t>
  </si>
  <si>
    <t>0865/NA-GPHĐ</t>
  </si>
  <si>
    <t xml:space="preserve">PHÒNG KHÁM BỆNH MẮT TƯ NHÂN SƠN THỌ  </t>
  </si>
  <si>
    <t>Nguyễn Hữu Thọ</t>
  </si>
  <si>
    <t>0866/NA-GPHĐ</t>
  </si>
  <si>
    <t>Trần Quang Hanh</t>
  </si>
  <si>
    <t>Số nhà 232- Đ. Nguyễn Sỹ Sách- TP.Vinh</t>
  </si>
  <si>
    <t>0108/NA-GPHĐ</t>
  </si>
  <si>
    <t>PHÒNG KHÁM BỆNH SẢN PHỤ KHOA LAM DIỄN</t>
  </si>
  <si>
    <t>Văn Thị Hồng Lam</t>
  </si>
  <si>
    <t>K. Tây Hồ I- P.Quang Tiến- Tx. Thái Hòa</t>
  </si>
  <si>
    <t>0868/NA-GPHĐ</t>
  </si>
  <si>
    <t>Luyện Văn Trịnh</t>
  </si>
  <si>
    <t>X. Bắc Vực- Xã Đô Thành- Yên Thành</t>
  </si>
  <si>
    <t>0869/NA-GPHĐ</t>
  </si>
  <si>
    <t>PHÒNG KHÁM BỆNH NHI KHOA TƯ NHÂN BS NIÊM</t>
  </si>
  <si>
    <t>Phan Niêm</t>
  </si>
  <si>
    <t>Số 54- Đ. Tôn Thất Tùng- TP.Vinh</t>
  </si>
  <si>
    <t>0872/NA-GPHĐ</t>
  </si>
  <si>
    <t>PHÒNG KHÁM BỆNH SẢN PHỤ KHOA TƯ NHÂN TÂM ĐỨC</t>
  </si>
  <si>
    <t>Nguyễn Hữu Cường</t>
  </si>
  <si>
    <t>0874/NA-GPHĐ</t>
  </si>
  <si>
    <t>PHÒNG CHẨN TRỊ Y HỌC CỔ TRUYỀN TƯ NHÂN VĂN MINH</t>
  </si>
  <si>
    <t>Nguyễn Văn Minh</t>
  </si>
  <si>
    <t>0875/NA-GPHĐ</t>
  </si>
  <si>
    <t>PHÒNG KHÁM BỆNH RĂNG-HÀM-MẶT TƯ NHÂN THÀNH THU</t>
  </si>
  <si>
    <t>Đậu Viết Thành</t>
  </si>
  <si>
    <t>Xóm Tuần A- Quỳnh Châu- Quỳnh Lưu</t>
  </si>
  <si>
    <t>0876/NA-GPHĐ</t>
  </si>
  <si>
    <t>Dương Thị Huệ</t>
  </si>
  <si>
    <t>Số 11B- Đ. Hà Huy Tập- TP.Vinh</t>
  </si>
  <si>
    <t>0878/NA-GPHĐ</t>
  </si>
  <si>
    <t>Hồ Thị Mỹ Hằng</t>
  </si>
  <si>
    <t>Xóm 05- Xã Nghi Kim- TP.Vinh</t>
  </si>
  <si>
    <t>0879/NA-GPHĐ</t>
  </si>
  <si>
    <t>PHÒNG KHÁM BỆNH NHI KHOA TƯ NHÂN VINH</t>
  </si>
  <si>
    <t>Đặng Ngọc Hà</t>
  </si>
  <si>
    <t>Số 83- Đ. Tôn Thất Tùng- TP.Vinh</t>
  </si>
  <si>
    <t>0880/NA-GPHĐ</t>
  </si>
  <si>
    <t>Hoàng Xuân Quân</t>
  </si>
  <si>
    <t>Số 191- Đ. Lê Lợi- TP.Vinh</t>
  </si>
  <si>
    <t>0881/NA-GPHĐ</t>
  </si>
  <si>
    <t>DỊCH VỤ CHĂM SÓC SỨC KHỎE TẠI NHÀ TƯ NHÂN</t>
  </si>
  <si>
    <t>Nguyễn Hữu Thắng</t>
  </si>
  <si>
    <t>Nhà 08A/Vinaconex9-K.19-xã Nghi Phú- TP. Vinh</t>
  </si>
  <si>
    <t>0882/NA-GPHĐ</t>
  </si>
  <si>
    <t>PHÒNG KHÁM BỆNH NỘI KHOA  TƯ NHÂN PHÚC NGUYÊN ĐƯỜNG</t>
  </si>
  <si>
    <t>Cao Xuân Đường</t>
  </si>
  <si>
    <t>Xóm Phúc Thiêm- Xã Diễn Phúc- TP.Vinh</t>
  </si>
  <si>
    <t>0885/NA-GPHĐ</t>
  </si>
  <si>
    <t>Bùi Phạm Công Chung</t>
  </si>
  <si>
    <t>K.Kim Tân-P.Hòa Hiếu-Tx Thái Hòa</t>
  </si>
  <si>
    <t>0889/NA-GPHĐ</t>
  </si>
  <si>
    <t>Trần Văn Tuấn</t>
  </si>
  <si>
    <t>K.Tân Thành-P.Hòa Hiếu-Tx Thái Hòa</t>
  </si>
  <si>
    <t>0890/NA-GPHĐ</t>
  </si>
  <si>
    <t>Võ Minh Tĩnh</t>
  </si>
  <si>
    <t>X.Trung Tiến- xã Nghi Quang- Nghi Lộc</t>
  </si>
  <si>
    <t>0892/NA-GPHĐ</t>
  </si>
  <si>
    <t>Bùi Anh Sơn</t>
  </si>
  <si>
    <t>Số 120B- Đ. Trần Thủ Độ- TP.Vinh</t>
  </si>
  <si>
    <t>0895/NA-GPHĐ</t>
  </si>
  <si>
    <t xml:space="preserve">PHÒNG KHÁM BỆNH  DA LIỄU TƯ NHÂN SV THÀNH VINH  </t>
  </si>
  <si>
    <t>Phạm Thị Thanh Huyền</t>
  </si>
  <si>
    <t>Số 17/ngõ36-Đường A2-K.Xuân Đông-P.Hưng Dũng-TP.Vinh</t>
  </si>
  <si>
    <t>0896/NA-GPHĐ</t>
  </si>
  <si>
    <t>Vũ Cao Năm</t>
  </si>
  <si>
    <t>Số 4C- Đ. Ngư Hải- TP. Vinh</t>
  </si>
  <si>
    <t>0897/NA-GPHĐ</t>
  </si>
  <si>
    <t>PHÒNG KHÁM BỆNH NỘI KHOA TỔNG HỢP TƯ NHÂN ANH NGUYÊN</t>
  </si>
  <si>
    <t>Đoàn Văn Thanh</t>
  </si>
  <si>
    <t>Thôn Phúc Thanh- Xã Tiến Thủy- Quỳnh Lưu</t>
  </si>
  <si>
    <t>0898/NA-GPHĐ</t>
  </si>
  <si>
    <t>Võ Văn Kỷ</t>
  </si>
  <si>
    <t>Xóm 5-Xã Diễn Hạnh- Diễn Châu</t>
  </si>
  <si>
    <t>0049/NA-GPHĐ</t>
  </si>
  <si>
    <t>Nguyễn Văn Trị</t>
  </si>
  <si>
    <t>Xóm 6- Xã Quỳnh Hồng- Quỳnh Lưu</t>
  </si>
  <si>
    <t>0888/NA-GPHĐ</t>
  </si>
  <si>
    <t>PHÒNG KHÁM BỆNH RĂNG MIỆNG  TƯ NHÂN NỤ CƯỜI</t>
  </si>
  <si>
    <t>Vũ Thị Thanh Mai</t>
  </si>
  <si>
    <t>Số 15-  Đ. Lý Thường Kiệt – TP.Vinh</t>
  </si>
  <si>
    <t>0083/NA-GPHĐ</t>
  </si>
  <si>
    <t>PHÒNG KHÁM BỆNH RĂNG MIỆNG TƯ NHÂN ĐỒNG GIANG</t>
  </si>
  <si>
    <t>Số 45- Đ. Tô Bá Ngọc- TP.Vinh</t>
  </si>
  <si>
    <t>PHÒNG KHÁM BỆNH SẢN PHỤ KHOA TƯ NHÂN BÁC SỸ QUỲNH</t>
  </si>
  <si>
    <t>Số nhà 06- Đ. Đậu Yên- TP.Vinh</t>
  </si>
  <si>
    <t>PHÒNG KHÁM BỆNH RĂNG-HÀM-MẶT TƯ NHÂN HÀ AN</t>
  </si>
  <si>
    <t>Phạm Thị Thạch</t>
  </si>
  <si>
    <t>Khối 4- TT Cầu Giát- Quỳnh Lưu</t>
  </si>
  <si>
    <t xml:space="preserve">0383/NA-GPHĐ    </t>
  </si>
  <si>
    <t>PHÒNG KHÁM CHUYÊN KHOA THẨM MỸ TƯ NHÂN THAVI</t>
  </si>
  <si>
    <t>Phan Ngọc Khoá</t>
  </si>
  <si>
    <t>Số 02/Tòa nhà Vicenta, Đ. Ngư Hải- TP.Vinh</t>
  </si>
  <si>
    <t xml:space="preserve">0904/NA-GPHĐ </t>
  </si>
  <si>
    <t>PHÒNG CHẨN TRỊ Y HỌC CỔ TRUYỀN TƯ NHÂN VIỆT AN</t>
  </si>
  <si>
    <t>Lê Thị Thu</t>
  </si>
  <si>
    <t>Xóm Cầu Khuôn- Xã Hòa Sơn- Đô Lương</t>
  </si>
  <si>
    <t>0906/NA-GPHĐ</t>
  </si>
  <si>
    <t>PHÒNG KHÁM BỆNH NỘI KHOA  TƯ NHÂN VIỆT ÂN</t>
  </si>
  <si>
    <t>Lưu Khắc Sung</t>
  </si>
  <si>
    <t>Vườn Xanh- TT Đô Lương- Đô Lương</t>
  </si>
  <si>
    <t>0907/NA-GPHĐ</t>
  </si>
  <si>
    <t>PHÒNG CHẨN TRỊ Y HỌC CỔ TRUYỀN TƯ NHÂN BÙI VĂN PHƯƠNG</t>
  </si>
  <si>
    <t>Bùi Văn Phương</t>
  </si>
  <si>
    <t>Số 52- Đ. Đặng Như Mai- TP.Vinh</t>
  </si>
  <si>
    <t>0909/NA-GPHĐ</t>
  </si>
  <si>
    <t>PHÒNG CHẨN TRỊ Y HỌC CỔ TRUYỀN TƯ NHÂN THANH SƠN</t>
  </si>
  <si>
    <t>Tô Thanh Sơn</t>
  </si>
  <si>
    <t>Thô Yên Thọ- Quỳnh Thuận- Quỳnh Lưu</t>
  </si>
  <si>
    <t>0910/NA-GPHĐ</t>
  </si>
  <si>
    <t>PHÒNG CHẨN TRỊ Y HỌC CỔ TRUYỀN TƯ NHÂN NGỌC HOÀI</t>
  </si>
  <si>
    <t>Nguyễn Văn Ngọc</t>
  </si>
  <si>
    <t>Khối 3- TT Tân Kỳ- Tân Kỳ</t>
  </si>
  <si>
    <t>0911/NA-GPHĐ</t>
  </si>
  <si>
    <t>PHÒNG KHÁM BỆNH RĂNG-HÀM-MẶT TƯ NHÂN NGỌC THẮNG</t>
  </si>
  <si>
    <t>Nguyễn Thị Thu Hiền</t>
  </si>
  <si>
    <t>Khối 7- TT Đô Lương- Đô Lương</t>
  </si>
  <si>
    <t>0912/NA-GPHĐ</t>
  </si>
  <si>
    <t>PHÒNG KHÁM BỆNH SẢN PHỤ KHOA TƯ NHÂN CHUNG HIẾU</t>
  </si>
  <si>
    <t>Thái Thị Hiếu</t>
  </si>
  <si>
    <t>K.Tân Hòa- TT Nghĩa Đàn-  H. Nghĩa Đàn</t>
  </si>
  <si>
    <t>0913/NA-GPHĐ</t>
  </si>
  <si>
    <t>PHÒNG KHÁM BỆNH NHI KHOA  TƯ NHÂN NIÊN NHÂN</t>
  </si>
  <si>
    <t>Đoàn Thị Nhân</t>
  </si>
  <si>
    <t>XómHiệp 2- Xã Nghĩa Liên- Nghĩa Đàn</t>
  </si>
  <si>
    <t>0914/NA-GPHĐ</t>
  </si>
  <si>
    <t>PHÒNG KHÁM BỆNH NỘI KHOA  TƯ NHÂN KIM MAI</t>
  </si>
  <si>
    <t>Ngô Sỹ Tiến</t>
  </si>
  <si>
    <t>Xóm Bệnh viện- Xã Nghĩa Mỹ- Tx Thái Hòa</t>
  </si>
  <si>
    <t>0915/NA-GPHĐ</t>
  </si>
  <si>
    <t xml:space="preserve">PHÒNG KHÁM BỆNH DA LIỄU TƯ NHÂN PHÚ THỊNH  </t>
  </si>
  <si>
    <t>Quế Thị Hạnh</t>
  </si>
  <si>
    <t>Khối Nam- Xã Diễn Hồng- Diễn Châu</t>
  </si>
  <si>
    <t>0916/NA-GPHĐ</t>
  </si>
  <si>
    <t>PHÒNG KHÁM BỆNH NỘI KHOA TỔNG HỢP  TƯ NHÂN TÂM ĐỨC</t>
  </si>
  <si>
    <t>Võ Văn Chiến</t>
  </si>
  <si>
    <t>Xóm Kim Liên- TT Quán Hành – Nghi Lộc</t>
  </si>
  <si>
    <t>0041/NA-GPHĐ</t>
  </si>
  <si>
    <t>PHÒNG KHÁM BỆNH MẮT  TƯ NHÂN BS ĐỘ</t>
  </si>
  <si>
    <t>Nguyễn Văn Độ</t>
  </si>
  <si>
    <t>Số 41- Đ. Nguyễn Văn Cừ- TP.Vinh</t>
  </si>
  <si>
    <t>0917/NA-GPHĐ</t>
  </si>
  <si>
    <t>Nguyễn Viết Hải</t>
  </si>
  <si>
    <t>Số 25B- Đ. Đốc Thiết- TP.Vinh</t>
  </si>
  <si>
    <t>0919/NA-GPHĐ</t>
  </si>
  <si>
    <t>Nguyễn Thanh Khôi</t>
  </si>
  <si>
    <t>Số 11- Đ. Nguyễn Sỹ Quế- TP.Vinh</t>
  </si>
  <si>
    <t>0920/NA-GPHĐ</t>
  </si>
  <si>
    <t>Trần Văn Thi</t>
  </si>
  <si>
    <t>Lô C12/KĐT Minh Khang- Đ.Lenin- Nghi Phú- TP.Vinh</t>
  </si>
  <si>
    <t>0393/NA-GPHĐ</t>
  </si>
  <si>
    <t>Nguyễn Song Huỳnh</t>
  </si>
  <si>
    <t>0025/NA-GPHĐ</t>
  </si>
  <si>
    <t>PHÒNG KHÁM BỆNH TAI-MŨI-HỌNG ĐÔNG ANH</t>
  </si>
  <si>
    <t>Võ Đông Anh</t>
  </si>
  <si>
    <t>K. Tân Liên- P. Hòa Hiếu- Tx. Thái Hòa</t>
  </si>
  <si>
    <t>0158/NA-GPHĐ</t>
  </si>
  <si>
    <t>PHÒNG CHẨN TRỊ Y HỌC CỔ TRUYỀN TƯ NHÂN LONG VIỆT ĐƯỜNG</t>
  </si>
  <si>
    <t>Trần Đăng Tài</t>
  </si>
  <si>
    <t>K. Kim Tân- P. Hòa Hiếu- Tx. Thái Hòa</t>
  </si>
  <si>
    <t>0921/NA-GPHĐ</t>
  </si>
  <si>
    <t>Vũ Văn Dương</t>
  </si>
  <si>
    <t>Xóm 4- Xã Tăng Thành- Yên Thành</t>
  </si>
  <si>
    <t>0922/NA-GPHĐ</t>
  </si>
  <si>
    <t>Hoàng Thị Kim Hoa</t>
  </si>
  <si>
    <t>Xóm Quy Chính- Xã Vân Diên- Nam Đàn</t>
  </si>
  <si>
    <t xml:space="preserve">0923/NA-GPHĐ </t>
  </si>
  <si>
    <t>PHÒNG KHÁM BỆNH MẮT  TƯ NHÂN BS. PHẠM VĂN CƯỜNG</t>
  </si>
  <si>
    <t>Phạm Văn Cường</t>
  </si>
  <si>
    <t>Xóm 7- Xã Diễn Tháp- Diễn Châu</t>
  </si>
  <si>
    <t>0924/NA-GPHĐ</t>
  </si>
  <si>
    <t>PHÒNG CHẨN TRỊ Y HỌC CỔ TRUYỀN TƯ NHÂN NGUYỄN PHÙNG</t>
  </si>
  <si>
    <t>Nguyễn Trọng Phùng</t>
  </si>
  <si>
    <t>Xóm 15- xã Nghi Kim- TP.Vinh</t>
  </si>
  <si>
    <t>0925/NA-GPHĐ</t>
  </si>
  <si>
    <t>Nguyễn Tư Hùng</t>
  </si>
  <si>
    <t>Số 32- Đ. Tôn Thất Tùng- TP.Vinh</t>
  </si>
  <si>
    <t>0926/NA-GPHĐ</t>
  </si>
  <si>
    <t>PHÒNG KHÁM BỆNH NỘI KHOA  TƯ NHÂN QUANG THÀNH</t>
  </si>
  <si>
    <t>Đặng Quang Thành</t>
  </si>
  <si>
    <t>Xóm 03- Xã Thái Sơn- Đô Lương</t>
  </si>
  <si>
    <t>0927/NA-GPHĐ</t>
  </si>
  <si>
    <t>Phạm Văn Sơn</t>
  </si>
  <si>
    <t>Số 28- Đ. Đinh Công Tráng- TP.Vinh</t>
  </si>
  <si>
    <t xml:space="preserve">0928/NA-GPHĐ </t>
  </si>
  <si>
    <t>Hoàng Nghĩa Thạch</t>
  </si>
  <si>
    <t>Khối 9- TT Thanh Chương- Thanh Chương</t>
  </si>
  <si>
    <t>0929/NA-GPHĐ</t>
  </si>
  <si>
    <t>PHÒNG  XÉT NGHIỆM  TƯ NHÂN BẢO ANH</t>
  </si>
  <si>
    <t>Lê Ngọc Hồng</t>
  </si>
  <si>
    <t>Khối 12- TT Thanh Chương- Thanh Chương</t>
  </si>
  <si>
    <t>0930/NA-GPHĐ</t>
  </si>
  <si>
    <t>Phạm Văn Trọng</t>
  </si>
  <si>
    <t>Xóm Xuân Tiến- xã Nghi Thạch- Nghi Lộc</t>
  </si>
  <si>
    <t>0933/NA-GPHĐ</t>
  </si>
  <si>
    <t>Hoàng Thị Luyến</t>
  </si>
  <si>
    <t>Xóm Chợ Quán- xã Nghi Hoa- Nghi Lộc</t>
  </si>
  <si>
    <t>0934/NA-GPHĐ</t>
  </si>
  <si>
    <t>Đặng Đình Lưu</t>
  </si>
  <si>
    <t>Khối 9- TT Tân Kỳ- Tân Kỳ</t>
  </si>
  <si>
    <t>0935/NA-GPHĐ</t>
  </si>
  <si>
    <t>Nguyễn Thế Long</t>
  </si>
  <si>
    <t>Khối 2- TT Tân Kỳ- H.Tân Kỳ</t>
  </si>
  <si>
    <t>PHÒNG KHÁM BỆNH NỘI KHOA  TƯ NHÂN HỒNG VÂN</t>
  </si>
  <si>
    <t>Võ Hữu Nồng</t>
  </si>
  <si>
    <t>Xóm 8- xã Tân Sơn- Đô Lương</t>
  </si>
  <si>
    <t>0936/NA-GPHĐ</t>
  </si>
  <si>
    <t>PHÒNG KHÁM BỆNH MẮT  TƯ NHÂN BẮC GA SI</t>
  </si>
  <si>
    <t>Phan Trọng Dũng</t>
  </si>
  <si>
    <t>Thôn 5- Xã Diễn Kỷ- Diễn Châu</t>
  </si>
  <si>
    <t>0938/NA-GPHĐ</t>
  </si>
  <si>
    <t>Hoàng Nghĩa Huệ Thông</t>
  </si>
  <si>
    <t>Xóm 6- Xã Đông Sơn- Đô Lương</t>
  </si>
  <si>
    <t>0937/NA-GPHĐ</t>
  </si>
  <si>
    <t>PHÒNG KHÁM BỆNH NHI KHOA TƯ NHÂN BS VÕ HÙNG</t>
  </si>
  <si>
    <t>Võ Mạnh Hùng</t>
  </si>
  <si>
    <t>Số 18- Đ. Nguyễn Gia Thiều- TP.Vinh</t>
  </si>
  <si>
    <t xml:space="preserve">0939/NA-GPHĐ </t>
  </si>
  <si>
    <t>Trần Quốc Hùng</t>
  </si>
  <si>
    <t>Số 580/K.Tân Diện- P.Nghi Hòa- Tx.Cửa Lò</t>
  </si>
  <si>
    <t>0940/NA-GPHĐ</t>
  </si>
  <si>
    <t>PHÒNG KHÁM BỆNH RĂNG-HÀM-MẶT TƯ NHÂN TUẤN KHANG</t>
  </si>
  <si>
    <t>X. Đông Hồng- Xã Đông Hiếu- Tx.Thái Hòa</t>
  </si>
  <si>
    <t xml:space="preserve">PHÒNG KHÁM BỆNH RĂNG-HÀM TƯ NHÂN  </t>
  </si>
  <si>
    <t>Vi Văn Hùng</t>
  </si>
  <si>
    <t>Bản Khe Tỳ- Xã Hữu Kiệm- Kỳ Sơn</t>
  </si>
  <si>
    <t>0942/NA-GPHĐ</t>
  </si>
  <si>
    <t>PHÒNG KHÁM BỆNH NỘI KHOA  TƯ NHÂN BÌNH AN</t>
  </si>
  <si>
    <t>Trần Nguyên Quyền</t>
  </si>
  <si>
    <t>Xóm 12- Xã Đà Sơn- Đô Lương</t>
  </si>
  <si>
    <t>0943/NA-GPHĐ</t>
  </si>
  <si>
    <t>Lê Thị Phước An</t>
  </si>
  <si>
    <t>Số 75- Đ. Nguyễn Năng Tĩnh- TP.Vinh</t>
  </si>
  <si>
    <t>0047/NA-GPHĐ</t>
  </si>
  <si>
    <t>Ngô Thị Bình</t>
  </si>
  <si>
    <t>Số 15/1. Ngõ 33- Đ. Hoàng Văn Thụ- TP.Vinh</t>
  </si>
  <si>
    <t>0944/NA-GPHĐ</t>
  </si>
  <si>
    <t>DỊCH VỤ KÍNH THUỐC TƯ NHÂN DŨNG HIỀN</t>
  </si>
  <si>
    <t>Nguyễn Thị Lan</t>
  </si>
  <si>
    <t>Số 51- Đ. Lê Lợi- TP. Vinh</t>
  </si>
  <si>
    <t>0945/NA-GPHĐ</t>
  </si>
  <si>
    <t>Trần Thị Thi</t>
  </si>
  <si>
    <t>Số 01- Đ. Cao Thắng- TP. Vinh</t>
  </si>
  <si>
    <t>0946/NA-GPHĐ</t>
  </si>
  <si>
    <t>K. Tây Hồ- TT Quỳ Hợp- Quỳ Hợp</t>
  </si>
  <si>
    <t>PHÒNG KHÁM BỆNH SẢN PHỤ KHOA TƯ NHÂN HẠNH KHUYÊN</t>
  </si>
  <si>
    <t>Nguyễn Thị Khuyên</t>
  </si>
  <si>
    <t>K.. Hạnh Khai- TT Tân Lạc- Quỳ Châu</t>
  </si>
  <si>
    <t>0947/NA-GPHĐ</t>
  </si>
  <si>
    <t>Trần Đình Hổ</t>
  </si>
  <si>
    <t>Xóm 08- Xã Xuân Hòa- Nam Đàn</t>
  </si>
  <si>
    <t>0948/NA-GPHĐ</t>
  </si>
  <si>
    <t>PHÒNG CHẨN TRỊ Y HỌC CỔ TRUYỀN TƯ NHÂN VƯỢNG NGA</t>
  </si>
  <si>
    <t>Đặng Đức Vượng</t>
  </si>
  <si>
    <t>X.Thượng Khánh- xã Nghĩa Khánh- Nghĩa Đàn</t>
  </si>
  <si>
    <t>0949/NA-GPHĐ</t>
  </si>
  <si>
    <t>Nguyễn Doãn Bình</t>
  </si>
  <si>
    <t>X. Nam Sơn- Xã Vân Diên- Nam Đàn</t>
  </si>
  <si>
    <t xml:space="preserve">0456/NA-GPHĐ   </t>
  </si>
  <si>
    <t>PHÒNG KHÁM BỆNH RĂNG-HÀM-MẶT TƯ NHÂN HOÀNG THANH</t>
  </si>
  <si>
    <t>Hoàng Thị Thanh</t>
  </si>
  <si>
    <t>K. 250- P. Quang Tiến- Tx. Thái Hòa</t>
  </si>
  <si>
    <t xml:space="preserve">0950/NA-GPHĐ </t>
  </si>
  <si>
    <t>PHÒNG KHÁM BỆNH RĂNG-HÀM-MẶT TƯ NHÂN TRẦN ĐỨC</t>
  </si>
  <si>
    <t>Trần Đình Đức</t>
  </si>
  <si>
    <t>Xã Yên Sơn- Đô Lương</t>
  </si>
  <si>
    <t>0853/NA-GPHĐ</t>
  </si>
  <si>
    <t>Phan Trọng Thung</t>
  </si>
  <si>
    <t>Khối 6- Thị trấn Đô Lương- H.Đô Lương</t>
  </si>
  <si>
    <t>0209/NA-GPHĐ</t>
  </si>
  <si>
    <t>PHÒNG KHÁM BỆNH NỘI KHOA  TƯ NHÂN LÔ VĂN THÙY</t>
  </si>
  <si>
    <t>Lô Văn Thùy</t>
  </si>
  <si>
    <t>K. Hòa Tân- TT Hòa Bình- Tương Dương</t>
  </si>
  <si>
    <t>0952/NA-GPHĐ</t>
  </si>
  <si>
    <t xml:space="preserve">PHÒNG KHÁM BỆNH NGOẠI KHOA  TƯ NHÂN DŨNG HÀ  </t>
  </si>
  <si>
    <t>Nguyễn Tiến Dũng</t>
  </si>
  <si>
    <t>0953/NA-GPHĐ</t>
  </si>
  <si>
    <t>PHÒNG KHÁM BỆNH NỘI KHOA  TƯ NHÂN  BS MOONG THỊ THẮM</t>
  </si>
  <si>
    <t>Moong Thị Thắm</t>
  </si>
  <si>
    <t>K. 05- TT Mường Xén- Kỳ Sơn</t>
  </si>
  <si>
    <t>0954/NA-GPHĐ</t>
  </si>
  <si>
    <t>PHÒNG KHÁM BỆNH NỘI KHOA  TƯ NHÂN HẢI TRANG</t>
  </si>
  <si>
    <t>Phạm Tuấn Hải</t>
  </si>
  <si>
    <t>Xóm Hồng 4- Xã Nghĩa Trung- Nghĩa Đàn</t>
  </si>
  <si>
    <t xml:space="preserve">0956/NA-GPHĐ </t>
  </si>
  <si>
    <t xml:space="preserve">PHÒNG KHÁM BỆNH TÂM THẦN TƯ NHÂN  </t>
  </si>
  <si>
    <t>Phạm Ngọc Ngô</t>
  </si>
  <si>
    <t>Số 51- Đ. Tô Bá Ngọc- TP.Vinh</t>
  </si>
  <si>
    <t>0957/NA-GPHĐ</t>
  </si>
  <si>
    <t>PHÒNG KHÁM BỆNH RĂNG-HÀM-MẶT TƯ NHÂN QUANG ĐỨC</t>
  </si>
  <si>
    <t>Phan Duy Quang</t>
  </si>
  <si>
    <t>P4/Nhà A3- P. Quang Trung- TP. Vinh</t>
  </si>
  <si>
    <t>0958/NA-GPHĐ</t>
  </si>
  <si>
    <t>PHÒNG KHÁM BỆNH MẮT  TƯ NHÂN BS NGUYỄN BÁ KIÊN</t>
  </si>
  <si>
    <t>Nguyễn Bá Kiên</t>
  </si>
  <si>
    <t>K. Bắc Mỹ- Quỳnh Thiện- Hoàng Mai</t>
  </si>
  <si>
    <t>0960/NA-GPHĐ</t>
  </si>
  <si>
    <t>Phan Văn Quy</t>
  </si>
  <si>
    <t>Xóm 02- Xã Hoa Thành- Yên Thành</t>
  </si>
  <si>
    <t>0961/NA-GPHĐ</t>
  </si>
  <si>
    <t>Hồ Phi Trực</t>
  </si>
  <si>
    <t>X. Ngã Tư- Xã Công Thành- Yên Thành</t>
  </si>
  <si>
    <t>0962/NA-GPHĐ</t>
  </si>
  <si>
    <t>PHÒNG CHẨN TRỊ Y HỌC CỔ TRUYỀN TƯ NHÂN ĐƯỜNG LÂM</t>
  </si>
  <si>
    <t>Hoàng Xuân Đường</t>
  </si>
  <si>
    <t>Xóm Mậu 4 - Xã Kim Liên- Nam Đàn</t>
  </si>
  <si>
    <t>0963/NA-GPHĐ</t>
  </si>
  <si>
    <t>Lê Đình Tình</t>
  </si>
  <si>
    <t>Xóm Quy Chính 2 - Xã Vân Diên- Nam Đàn</t>
  </si>
  <si>
    <t>0964/NA-GPHĐ</t>
  </si>
  <si>
    <t>Nguyễn Xuân Tường</t>
  </si>
  <si>
    <t>Xóm 7- Xã Nghi Phong- Nghi Lộc</t>
  </si>
  <si>
    <t>0965/NA-GPHĐ</t>
  </si>
  <si>
    <t>Dương Văn Hà</t>
  </si>
  <si>
    <t>Xóm 02- Xã Nghi Đồng- Nghi Lộc</t>
  </si>
  <si>
    <t>0972/NA-GPHĐ</t>
  </si>
  <si>
    <t>PHÒNG CHẨN TRỊ Y HỌC CỔ TRUYỀN TƯ NHÂN AN LẠC</t>
  </si>
  <si>
    <t>Trần Đại Thắng</t>
  </si>
  <si>
    <t>Số 343- Đ. Đặng Thai Mai- TP. Vinh</t>
  </si>
  <si>
    <t>0973/NA-GPHĐ</t>
  </si>
  <si>
    <t>Ngô Văn Mai</t>
  </si>
  <si>
    <t>Xóm Thái Thịnh- Xã Nghi Thái- Nghi Lộc</t>
  </si>
  <si>
    <t>0974/NA-GPHĐ</t>
  </si>
  <si>
    <t>Dương Thị Ngọc Đông</t>
  </si>
  <si>
    <t>Xóm 15- Nghi Trung- Nghi Lộc</t>
  </si>
  <si>
    <t>0017/NA-GPHĐ</t>
  </si>
  <si>
    <t>Nguyễn Văn Hải</t>
  </si>
  <si>
    <t>Xóm 5- Xã Diễn Nguyên- Diễn Châu</t>
  </si>
  <si>
    <t xml:space="preserve">0975/NA-GPHĐ </t>
  </si>
  <si>
    <t>Nguyễn Thị Thanh Hà</t>
  </si>
  <si>
    <t>Số 77- Đ. Nguyễn Bỉnh Khiêm- TP.Vinh</t>
  </si>
  <si>
    <t>0976/NA-GPHĐ</t>
  </si>
  <si>
    <t>Nguyễn Lâm Thắng</t>
  </si>
  <si>
    <t>Xóm Sen 1- Xã Kim Liên- Nam Đàn</t>
  </si>
  <si>
    <t>0977/NA-GPHĐ</t>
  </si>
  <si>
    <t>PHÒNG KHÁM BỆNH MẮT TƯ NHÂN HẢI THẢO</t>
  </si>
  <si>
    <t>Phan Thanh Hải</t>
  </si>
  <si>
    <t>Khối 9- TT Tân Kỳ- H. Tân Kỳ</t>
  </si>
  <si>
    <t>0978/NA-GPHĐ</t>
  </si>
  <si>
    <t>PHÒNG KHÁM BỆNH SẢN PHỤ KHOA TƯ NHÂN KỲ HÒA</t>
  </si>
  <si>
    <t>Nguyễn Trọng Kỳ</t>
  </si>
  <si>
    <t>Xóm 8- Xã Nghĩa An- Nghĩa Đàn</t>
  </si>
  <si>
    <t>0981/NA-GPHĐ</t>
  </si>
  <si>
    <t>PHÒNG KHÁM BỆNH RĂNG-HÀM-MẶT TƯ NHÂN QUỲNH</t>
  </si>
  <si>
    <t>Vũ Ngọc Quỳnh</t>
  </si>
  <si>
    <t>Số 15- Đ. Lenin- Xã Nghi Phú- TP. Vinh</t>
  </si>
  <si>
    <t>0166/NA-GPHĐ</t>
  </si>
  <si>
    <t>Nguyễn Văn Thìn</t>
  </si>
  <si>
    <t>Khối 6A- TT Anh Sơn- Anh Sơn</t>
  </si>
  <si>
    <t>0982/NA-GPHĐ</t>
  </si>
  <si>
    <t>Trần Văn Cửu</t>
  </si>
  <si>
    <t>0983/NA-GPHĐ</t>
  </si>
  <si>
    <t>Thôn 10- Xã Phúc Sơn- Anh Sơn</t>
  </si>
  <si>
    <t>0984/NA-GPHĐ</t>
  </si>
  <si>
    <t>Nguyễn Viết Hiển</t>
  </si>
  <si>
    <t>Khối 6B- TT Anh Sơn- Anh Sơn</t>
  </si>
  <si>
    <t>0985/NA-GPHĐ</t>
  </si>
  <si>
    <t>PHÒNG KHÁM BỆNH MẮT TƯ NHÂN BS DƯ HẢI NAM</t>
  </si>
  <si>
    <t>Dư Hải Nam</t>
  </si>
  <si>
    <t>Khối 9- TT Đô Lương- Đô Lương</t>
  </si>
  <si>
    <t>0986/NA-GPHĐ</t>
  </si>
  <si>
    <t>Lương Trọng Huy</t>
  </si>
  <si>
    <t>Số 101- Đ. Nguyễn Phong Sắc- TP.Vinh</t>
  </si>
  <si>
    <t>0115/NA-GPHĐ</t>
  </si>
  <si>
    <t>Hoàng Văn Hùng</t>
  </si>
  <si>
    <t>Khối 02- TT Yên Thành- Yên Thành</t>
  </si>
  <si>
    <t>0987/NA-GPHĐ</t>
  </si>
  <si>
    <t xml:space="preserve">PHÒNG CHẨN TRỊ Y HỌC CỔ TRUYỀN TƯ NHÂN TRẦN HỮU LINH  </t>
  </si>
  <si>
    <t>Trần Hữu Linh</t>
  </si>
  <si>
    <t>Xóm 01- Xã Nam Giang- Nam Đàn</t>
  </si>
  <si>
    <t>0988/NA-GPHĐ</t>
  </si>
  <si>
    <t>Phan Văn Hiệp</t>
  </si>
  <si>
    <t>Thôn Lam Giang- Xã Võ Liệt- Thanh Chương</t>
  </si>
  <si>
    <t>0932/NA-GPHĐ</t>
  </si>
  <si>
    <t>Bùi Nguyên Nam</t>
  </si>
  <si>
    <t>Khối Tân Thành-P. Hòa Hiếu- TX. Thái Hòa</t>
  </si>
  <si>
    <t>0136/NA-GPHĐ</t>
  </si>
  <si>
    <t>Lại Vĩnh Thủy</t>
  </si>
  <si>
    <t>Khối 17- TT Quỳ Hợp- Quỳ Hợp</t>
  </si>
  <si>
    <t>0991/NA-GPHĐ</t>
  </si>
  <si>
    <t>Vương Thanh Huyền</t>
  </si>
  <si>
    <t>Số 55- Đ. Hải Thượng Lãn Ông- TP.Vinh</t>
  </si>
  <si>
    <t>0993/NA-GPHĐ</t>
  </si>
  <si>
    <t>Trần Đình Hiền</t>
  </si>
  <si>
    <t>P.105/Ch.cư Tân Bình- K.Tân Phúc- P.Vinh Tân- TP.Vinh</t>
  </si>
  <si>
    <t>0994/NA-GPHĐ</t>
  </si>
  <si>
    <t>Phạm Đắc Cao</t>
  </si>
  <si>
    <t>Số 43- Đ.Lenin- X.19- Xã Nghi Phú- TP.Vinh</t>
  </si>
  <si>
    <t>0995/NA-GPHĐ</t>
  </si>
  <si>
    <t>PHÒNG KHÁM BỆNH SẢN PHỤ KHOA TƯ NHÂN HẢI ĐƯỜNG</t>
  </si>
  <si>
    <t>Lô Văn Hải</t>
  </si>
  <si>
    <t>0996/NA-GPHĐ</t>
  </si>
  <si>
    <t>Nguyễn Hữu Liêm</t>
  </si>
  <si>
    <t>Nhà LK lô 11,Đ.Đinh Công Tráng-Ch.cư Quang Trung- P.Quang Trung-TP.Vinh</t>
  </si>
  <si>
    <t>0220/NA-GPHĐ</t>
  </si>
  <si>
    <t xml:space="preserve">PHÒNG KHÁM BỆNH NỘI KHOA  TƯ NHÂN  </t>
  </si>
  <si>
    <t>Lô Thị Mai Viên</t>
  </si>
  <si>
    <t>Khối Hợp Tâm- TT.Quỳ Hợp- Quỳ Hợp</t>
  </si>
  <si>
    <t>0997/NA-GPHĐ</t>
  </si>
  <si>
    <t>Trần Xuân Bình</t>
  </si>
  <si>
    <t>P213-Ch.cư C1-Đ.Nguyễn Thái Học-P.Đội Cung- TP.Vinh</t>
  </si>
  <si>
    <t>0999/NA-GPHĐ</t>
  </si>
  <si>
    <t>PHÒNG KHÁM BỆNH SẢN PHỤ KHOA TƯ NHÂN VẠN PHÚC</t>
  </si>
  <si>
    <t>Võ Tá Trung</t>
  </si>
  <si>
    <t>Số 63- Đ. Nguyễn Phong Sắc- TP.Vinh</t>
  </si>
  <si>
    <t>1000/NA-GPHĐ</t>
  </si>
  <si>
    <t>Vi Thị Hương</t>
  </si>
  <si>
    <t>Số 531,QL7-Khối 2- TT Con Cuông</t>
  </si>
  <si>
    <t>1001/NA-GPHĐ</t>
  </si>
  <si>
    <t>Nguyễn Huy Thắng</t>
  </si>
  <si>
    <t>Xóm 6- Xã Nghĩa Hưng- Nghĩa Đàn</t>
  </si>
  <si>
    <t>1003/NA-GPHĐ</t>
  </si>
  <si>
    <t>Trần Đức Lượng</t>
  </si>
  <si>
    <t>Khối 6- TT Cầu Giát- Quỳnh Lưu</t>
  </si>
  <si>
    <t>1004/NA-GPHĐ</t>
  </si>
  <si>
    <t>Trần Đăng Đỉnh</t>
  </si>
  <si>
    <t>Thôn 12- Xã Tường Sơn- Anh Sơn</t>
  </si>
  <si>
    <t>1005/NA-GPHĐ</t>
  </si>
  <si>
    <t>Nguyễn Văn Phú</t>
  </si>
  <si>
    <t>Xóm 3- Xã Khánh Sơn 2- Nam Đàn</t>
  </si>
  <si>
    <t>1006/NA-GPHĐ</t>
  </si>
  <si>
    <t>Phan Thị Ngà</t>
  </si>
  <si>
    <t>Xóm 6- Xã Nam Giang- Nam Đàn</t>
  </si>
  <si>
    <t>1007/NA-GPHĐ</t>
  </si>
  <si>
    <t>Lê Văn Hòa</t>
  </si>
  <si>
    <t>Xóm Nam Sơn- Xã Vân Diên- Nam Đàn</t>
  </si>
  <si>
    <t>1008/NA-GPHĐ</t>
  </si>
  <si>
    <t>Trần Hữu Long</t>
  </si>
  <si>
    <t>Xóm 4- Xã Nam Giang- Nam Đàn</t>
  </si>
  <si>
    <t>1009/NA-GPHĐ</t>
  </si>
  <si>
    <t xml:space="preserve">PHÒNG KHÁM BỆNH SẢN PHỤ KHOA TƯ NHÂN  </t>
  </si>
  <si>
    <t>Nguyễn Thị Thắm</t>
  </si>
  <si>
    <t xml:space="preserve">1011/NA-GPHĐ </t>
  </si>
  <si>
    <t>Vy Văn Dương</t>
  </si>
  <si>
    <t>Khối Hòa Bắc- TT.Hòa Bình- Tương Dương</t>
  </si>
  <si>
    <t xml:space="preserve">1013/NA-GPHĐ </t>
  </si>
  <si>
    <t xml:space="preserve">PHÒNG KHÁM BỆNH RĂNG-HÀM-MẶT TƯ NHÂN THỤC ANH  </t>
  </si>
  <si>
    <t>Phan Thị Thục Anh</t>
  </si>
  <si>
    <t>Khối Tân Hùng- Hưng Lộc- TP.Vinh</t>
  </si>
  <si>
    <t>1014/NA-GPHĐ</t>
  </si>
  <si>
    <t>Trần Thị Huyền</t>
  </si>
  <si>
    <t>Số 230- Đ. Phong Định Cảng- TP.Vinh</t>
  </si>
  <si>
    <t>1015/NA-GPHĐ</t>
  </si>
  <si>
    <t>Nguyễn Hà Giao</t>
  </si>
  <si>
    <t>Số 10- Đ. Tuệ Tĩnh- TP.Vinh</t>
  </si>
  <si>
    <t>1016/NA-GPHĐ</t>
  </si>
  <si>
    <t>Nguyễn Thu Thành</t>
  </si>
  <si>
    <t>Xóm Chợ Cần- Xã Hưng Trung- Hưng Nguyên</t>
  </si>
  <si>
    <t>1017/NA-GPHĐ</t>
  </si>
  <si>
    <t>Lô Văn Lam</t>
  </si>
  <si>
    <t>Khối 8- TT Kim Sơn- Quế Phong</t>
  </si>
  <si>
    <t>1018/NA-GPHĐ</t>
  </si>
  <si>
    <t>Nguyễn Đình Sơn</t>
  </si>
  <si>
    <t>Số 69, Đ.số6, chợ Mới Vinh Tân- P.Vinh Tân- TP.Vinh</t>
  </si>
  <si>
    <t>1020/NA-GPHĐ</t>
  </si>
  <si>
    <t>Hồ Sỹ Việt</t>
  </si>
  <si>
    <t>Tầng 4, Nhà số 3, TTTM Vicentra- Đ. Ngư Hải- TP.Vinh</t>
  </si>
  <si>
    <t>1021/NA-GPHĐ</t>
  </si>
  <si>
    <t xml:space="preserve">PHÒNG CHẨN TRỊ Y HỌC CỔ TRUYỀN TƯ NHÂN BS LUÂN   </t>
  </si>
  <si>
    <t>Nguyễn Thành Luân</t>
  </si>
  <si>
    <t>Khối Tân Diện- P. Nghi Hòa- Tx. Cửa Lò</t>
  </si>
  <si>
    <t>1022/NA-GPHĐ</t>
  </si>
  <si>
    <t>Hồ Văn Thân</t>
  </si>
  <si>
    <t>Xóm Xuân Khánh- Xã Nghi Xuân- Nghi Lộc</t>
  </si>
  <si>
    <t xml:space="preserve">1026/NA-GPHĐ </t>
  </si>
  <si>
    <t>PHÒNG KHÁM BỆNH NGOẠI KHOA TƯ NHÂN PHÚC THÀNH</t>
  </si>
  <si>
    <t>Nguyễn Văn Oanh</t>
  </si>
  <si>
    <t>Số nhà 23B- Đ. Nguyễn Phong Sắc- TP. Vinh</t>
  </si>
  <si>
    <t>0899/NA-GPHĐ</t>
  </si>
  <si>
    <t xml:space="preserve">PHÒNG KHÁM BỆNH NHI KHOA  TƯ NHÂN HOÀI ÁNH  </t>
  </si>
  <si>
    <t>Lương Thị Ngọc Ánh</t>
  </si>
  <si>
    <t>Bản Bình 3- Xã Châu Bình- Quỳ Châu</t>
  </si>
  <si>
    <t>1028/NA-GPHĐ</t>
  </si>
  <si>
    <t>Nguyễn Tài Tình</t>
  </si>
  <si>
    <t>Xóm 02- Xã Nghi Thạch- Nghi Lộc</t>
  </si>
  <si>
    <t xml:space="preserve">1029/NA-GPHĐ </t>
  </si>
  <si>
    <t xml:space="preserve">PHÒNG CHẨN TRỊ Y HỌC CỔ TRUYỀN TƯ NHÂN THANH NGA  </t>
  </si>
  <si>
    <t>Xóm 3- Xã Quỳnh Hậu- Quỳnh Lưu</t>
  </si>
  <si>
    <t>1031/NA-GPHĐ</t>
  </si>
  <si>
    <t>Nguyễn Đăng Thông</t>
  </si>
  <si>
    <t>Xóm 8- Xã Khánh Sơn- Nam Đàn</t>
  </si>
  <si>
    <t>1032/NA-GPHĐ</t>
  </si>
  <si>
    <t>Nguyễn Văn Tuấn</t>
  </si>
  <si>
    <t>Số 61- Đ. Đội Cung- TP.Vinh</t>
  </si>
  <si>
    <t>1033/NA-GPHĐ</t>
  </si>
  <si>
    <t>Trần Thanh Sơn</t>
  </si>
  <si>
    <t>Xóm 6- Xã Xuân Thành- Yên Thành</t>
  </si>
  <si>
    <t xml:space="preserve">1034/NA-GPHĐ </t>
  </si>
  <si>
    <t>Vy Thị Chuyên</t>
  </si>
  <si>
    <t>Khối 5- TT Mường Xén- Kỳ Sơn</t>
  </si>
  <si>
    <t xml:space="preserve">1038/NA-GPHĐ </t>
  </si>
  <si>
    <t>Võ Đại Hiệp</t>
  </si>
  <si>
    <t>Khối 7 (Vườn Xanh)- TT Đô Lương- Đô Lương</t>
  </si>
  <si>
    <t>1039/NA-GPHĐ</t>
  </si>
  <si>
    <t>PHÒNG CHẨN ĐOÁN HÌNH ẢNH SIÊU ÂM</t>
  </si>
  <si>
    <t>Bùi Biên Cương</t>
  </si>
  <si>
    <t>Thôn 3- Xã Quỳnh Đôi- Quỳnh Lưu</t>
  </si>
  <si>
    <t>1040/NA-GPHĐ</t>
  </si>
  <si>
    <t>PHÒNG KHÁM BỆNH TAI-MŨI-HỌNG TƯ NHÂN LÊ LỢI</t>
  </si>
  <si>
    <t>Nguyễn Duy Miên</t>
  </si>
  <si>
    <t>Số 55- Đ. Nguyễn Thái Học- TP.Vinh</t>
  </si>
  <si>
    <t xml:space="preserve">1042/NA-GPHĐ </t>
  </si>
  <si>
    <t>PHÒNG CHẨN TRỊ Y HỌC CỔ TRUYỀN TƯ NHÂN AN THỊNH</t>
  </si>
  <si>
    <t>Nguyễn Bá Hải</t>
  </si>
  <si>
    <t>Khối An Thịnh- P.Quỳnh Thiện-Tx.Hoàng Mai</t>
  </si>
  <si>
    <t xml:space="preserve">1044/NA-GPHĐ </t>
  </si>
  <si>
    <t>PHÒNG KHÁM BỆNH TÂM THẦN TƯ NHÂN</t>
  </si>
  <si>
    <t>Ngân Thị Xuyến</t>
  </si>
  <si>
    <t>Số 177- Đ. Đốc Thiết- TP.Vinh</t>
  </si>
  <si>
    <t>1045/NA-GPHĐ</t>
  </si>
  <si>
    <t>PHÒNG KHÁM BỆNH NỘI KHOA TƯ NHÂN BS MỸ</t>
  </si>
  <si>
    <t>Võ Văn Mỹ</t>
  </si>
  <si>
    <t>Bản Trung tâm- xã Huồi Tụ- Kỳ Sơn</t>
  </si>
  <si>
    <t>1046/NA-GPHĐ</t>
  </si>
  <si>
    <t>Ngô Nam Hùng</t>
  </si>
  <si>
    <t>Số 156- Đ. Nguyễn Sỹ Sách- TP.Vinh</t>
  </si>
  <si>
    <t>1047/NA-GPHĐ</t>
  </si>
  <si>
    <t>Lá Văn khôi</t>
  </si>
  <si>
    <t>Khối Dốc Cao- P.Quang Tiến- Tx Thái Hòa</t>
  </si>
  <si>
    <t xml:space="preserve">0905/NA-GPHĐ </t>
  </si>
  <si>
    <t>PHÒNG CHẨN ĐOÁN HÌNH ẢNH  TƯ NHÂN BS HÀO</t>
  </si>
  <si>
    <t>Nguyễn Cảnh Hào</t>
  </si>
  <si>
    <t>Thôn 3- Xã Phúc Sơn- Anh Sơn</t>
  </si>
  <si>
    <t>1048/NA-GPHĐ</t>
  </si>
  <si>
    <t xml:space="preserve">PHÒNG KHÁM BỆNH NHI KHOA TƯ NHÂN </t>
  </si>
  <si>
    <t>Nguyễn Hữu Sơn</t>
  </si>
  <si>
    <t>Xóm Tân Nghĩa- Xã Nghi Xuân- Nghi Lộc</t>
  </si>
  <si>
    <t>1049/NA-GPHĐ</t>
  </si>
  <si>
    <t xml:space="preserve">PHÒNG KHÁM BỆNH RĂNG-HÀM-MẶT TƯ NHÂN </t>
  </si>
  <si>
    <t>Chu Văn Hiếu</t>
  </si>
  <si>
    <t>Số 36- Đ. Lê Viết Thuật- TP.Vinh</t>
  </si>
  <si>
    <t>1051/NA-GPHĐ</t>
  </si>
  <si>
    <t xml:space="preserve">PHÒNG KHÁM BỆNH SẢN PHỤ KHOA TƯ NHÂN </t>
  </si>
  <si>
    <t>Lương Thị Kim Oanh</t>
  </si>
  <si>
    <t>Số 98- Đ. Lê Viết Thuật- TP.Vinh</t>
  </si>
  <si>
    <t>1052/NA-GPHĐ</t>
  </si>
  <si>
    <t>PHÒNG KHÁM BỆNH NGOẠI KHOA TƯ NHÂN THÀNH TÂM</t>
  </si>
  <si>
    <t>Trần Minh Phương</t>
  </si>
  <si>
    <t>Số 15- Đ. Phan Bội Châu- TP.Vinh</t>
  </si>
  <si>
    <t>1053/NA-GPHĐ</t>
  </si>
  <si>
    <t>PHÒNG KHÁM BỆNH NỘI KHOA TƯ NHÂN BS. HẰNG</t>
  </si>
  <si>
    <t>Hồ Thị Lệ Hằng</t>
  </si>
  <si>
    <t>Xóm 7- Xã Hưng Thông- Hưng Nguyên</t>
  </si>
  <si>
    <t>1054/NA-GPHĐ</t>
  </si>
  <si>
    <t>Trần Phan Anh</t>
  </si>
  <si>
    <t>Số 61- Đ. Nguyễn Xuân Linh- TP. Vinh</t>
  </si>
  <si>
    <t>1055/NA-GPHĐ</t>
  </si>
  <si>
    <t>Lương Trà Mi</t>
  </si>
  <si>
    <t>Khối Hòa Bắc- TT Hòa Bình- Tương Dương</t>
  </si>
  <si>
    <t>1056/NA-GPHĐ</t>
  </si>
  <si>
    <t>Hoàng Thị Hà</t>
  </si>
  <si>
    <t>Số 28- Đ. Cao Thắng- TP.Vinh</t>
  </si>
  <si>
    <t>1057/NA-GPHĐ</t>
  </si>
  <si>
    <t>Lê Anh Tuấn</t>
  </si>
  <si>
    <t>Khối 6- Thị trấn Tân Kỳ- H.Tân Kỳ</t>
  </si>
  <si>
    <t>1058/NA-GPHĐ</t>
  </si>
  <si>
    <t>Nguyễn Thị Quyên</t>
  </si>
  <si>
    <t>1059/NA-GPHĐ</t>
  </si>
  <si>
    <t>PHÒNG KHÁM BỆNH MẮT  TƯ NHÂN HẢI VÂN</t>
  </si>
  <si>
    <t>Nguyễn Thị Hải Vân</t>
  </si>
  <si>
    <t>1060/NA-GPHĐ</t>
  </si>
  <si>
    <t>Nguyễn Đình Thính</t>
  </si>
  <si>
    <t>Thôn 7- Xã Quỳnh Văn- Quỳnh Lưu</t>
  </si>
  <si>
    <t>1061/NA-GPHĐ</t>
  </si>
  <si>
    <t>PHÒNG KHÁM BỆNH NGOẠI UNG THƯ TƯ NHÂN</t>
  </si>
  <si>
    <t>Trần Văn Thông</t>
  </si>
  <si>
    <t>Số 37- Đ. Phạm Đình Toái- TP.Vinh</t>
  </si>
  <si>
    <t>1062/NA-GPHĐ</t>
  </si>
  <si>
    <t>Nguyễn Văn Tư</t>
  </si>
  <si>
    <t>Số 5A/Ngõ 112- Đ. Lệ Ninh- TP.Vinh</t>
  </si>
  <si>
    <t>1063/NA-GPHĐ</t>
  </si>
  <si>
    <t>PHÒNG  XÉT NGHIỆM Y KHOA  TƯ NHÂN</t>
  </si>
  <si>
    <t>Nguyễn Văn Phúc</t>
  </si>
  <si>
    <t>Số 2/Ngõ 99 – Đ. Lý Tự Trọng – TP.Vinh</t>
  </si>
  <si>
    <t>1064/NA-GPHĐ</t>
  </si>
  <si>
    <t>PHÒNG KHÁM BỆNH NỘI KHOA TƯ NHÂN BS. HẢI</t>
  </si>
  <si>
    <t>Hoàng Đình Hải</t>
  </si>
  <si>
    <t>Xóm 13- Xã Quỳnh Thạch- Quỳnh Lưu</t>
  </si>
  <si>
    <t>1065/NA-GPHĐ</t>
  </si>
  <si>
    <t>PHÒNG CHẨN ĐOÁN HÌNH ẢNH  SIÊU ÂM TƯ NHÂN BS. HÙNG</t>
  </si>
  <si>
    <t>Nguyễn Vương Hùng</t>
  </si>
  <si>
    <t>Xóm 01- Xã Hưng Mỹ- Hưng Nguyên</t>
  </si>
  <si>
    <t>1066/NA-GPHĐ</t>
  </si>
  <si>
    <t>Bùi Thanh Hải</t>
  </si>
  <si>
    <t>Số 28A- Đ. Nguyễn Sỹ Sách- TP. Vinh</t>
  </si>
  <si>
    <t>1067/NA-GPHĐ</t>
  </si>
  <si>
    <t>Ngô Thị Duyên</t>
  </si>
  <si>
    <t>Khối 14- TT Hưng Nguyên- H. Hưng Nguyên</t>
  </si>
  <si>
    <t>1070/NA-GPHĐ</t>
  </si>
  <si>
    <t>Trần Thị Hoài Khanh</t>
  </si>
  <si>
    <t>Khối 13- TT Hưng Nguyên- H. Hưng Nguyên</t>
  </si>
  <si>
    <t>1071/NA-GPHĐ</t>
  </si>
  <si>
    <t>PHÒNG KHÁM BỆNH RĂNG-HÀM-MẶT TƯ NHÂN PARIS</t>
  </si>
  <si>
    <t>Bùi Thị Minh Nguyệt</t>
  </si>
  <si>
    <t>Số 143- Đ. Nguyễn Văn Cừ- TP.Vinh</t>
  </si>
  <si>
    <t>0514/NA-GPHĐ</t>
  </si>
  <si>
    <t>Phạm Văn Toàn</t>
  </si>
  <si>
    <t>Khối 04- TT Thanh Chương- H. Thanh Chương</t>
  </si>
  <si>
    <t>1072/NA-GPHĐ</t>
  </si>
  <si>
    <t>Phạm Thị Hường</t>
  </si>
  <si>
    <t>Số 28-  Đ. Phạm Đình Toái- TP.Vinh</t>
  </si>
  <si>
    <t>1074/NA-GPHĐ</t>
  </si>
  <si>
    <t>PHÒNG KHÁM BỆNH TAI-MŨI-HỌNG TRẺ EM TƯ NHÂN</t>
  </si>
  <si>
    <t>Hà Thanh Bình</t>
  </si>
  <si>
    <t>Số 240-  Đ. Nguyễn Sỹ Sách- TP.Vinh</t>
  </si>
  <si>
    <t>1075/NA-GPHĐ</t>
  </si>
  <si>
    <t>PHÒNG KHÁM BỆNH NHI KHOA TƯ NHÂN TÂY BẮC</t>
  </si>
  <si>
    <t>Trần Thị Bích Ngọc</t>
  </si>
  <si>
    <t>Xóm Thành Xuân- Xã Nghĩa Xuân- Quỳ Hợp</t>
  </si>
  <si>
    <t>1078/NA-GPHĐ</t>
  </si>
  <si>
    <t>Trần Thị Quỳnh Liên</t>
  </si>
  <si>
    <t>Số 37-  Đ. Tôn Thất Tùng- TP.Vinh</t>
  </si>
  <si>
    <t>1079/NA-GPHĐ</t>
  </si>
  <si>
    <t>Phan Thị Trang</t>
  </si>
  <si>
    <t>1083/NA-GPHĐ</t>
  </si>
  <si>
    <t>PHÒNG KHÁM BỆNH NỘI KHOA  VỀ BỆNH PHỔI</t>
  </si>
  <si>
    <t>Nguyễn Hữu Toàn</t>
  </si>
  <si>
    <t>Xóm 2- xã Nghi Kim- TP.Vinh</t>
  </si>
  <si>
    <t>1084/NA-GPHĐ</t>
  </si>
  <si>
    <t>Trần Ngọc Việt</t>
  </si>
  <si>
    <t>Tầng 3. nhà 148- Đ. Nguyễn Văn Cừ- TP.Vinh</t>
  </si>
  <si>
    <t>0515/NA-GPHĐ</t>
  </si>
  <si>
    <t>Tăng Thị Hồng</t>
  </si>
  <si>
    <t>Tầng 2. Nhà số 61-  Đ. Đội Cung- TP.Vinh</t>
  </si>
  <si>
    <t>1085/NA-GPHĐ</t>
  </si>
  <si>
    <t>Nguyễn Văn Thịnh</t>
  </si>
  <si>
    <t>Xóm 9- Xã Hậu Thành- Yên Thành</t>
  </si>
  <si>
    <t>1086/NA-GPHĐ</t>
  </si>
  <si>
    <t>Hồ Khắc Thủy</t>
  </si>
  <si>
    <t>Xóm 7- Xã Quỳnh Bá- Quỳnh Lưu</t>
  </si>
  <si>
    <t>1088/NA-GPHĐ</t>
  </si>
  <si>
    <t>PHÒNG KHÁM BỆNH NỘI KHOA TƯ NHÂN HẢI TĨNH</t>
  </si>
  <si>
    <t>Nguyễn Thị Tĩnh</t>
  </si>
  <si>
    <t>Số 02- Đ. Nguyễn Viết Xuân- TP.Vinh</t>
  </si>
  <si>
    <t>1089/NA-GPHĐ</t>
  </si>
  <si>
    <t>PHÒNG KHÁM CHUYÊN KHOA Y HỌC CỔ TRUYỀN</t>
  </si>
  <si>
    <t>Bá Xuân Hóa</t>
  </si>
  <si>
    <t>Khối 01- T.trấn Cầu Giát- Quỳnh Lưu</t>
  </si>
  <si>
    <t>1090/NA-GPHĐ</t>
  </si>
  <si>
    <t>Nguyễn Hữu Cảnh</t>
  </si>
  <si>
    <t>Xóm 01- Xã Nghi Thạch- Nghi Lộc</t>
  </si>
  <si>
    <t>1091/NA-GPHĐ</t>
  </si>
  <si>
    <t>PHÒNG CHẨN ĐOÁN HÌNH ẢNH  SIÊU ÂM TƯ NHÂN</t>
  </si>
  <si>
    <t>Nguyễn Duy Tùng</t>
  </si>
  <si>
    <t>Khối 09- TT Thanh Chương- H. Thanh Chương</t>
  </si>
  <si>
    <t xml:space="preserve">1093/NA-GPHĐ </t>
  </si>
  <si>
    <t>PHÒNG KHÁM BỆNH NỘI KHOA  TƯ NHÂN BÌNH MINH</t>
  </si>
  <si>
    <t>Trần Đình Thông</t>
  </si>
  <si>
    <t>0967/NA-GPHĐ</t>
  </si>
  <si>
    <t>PHÒNG KHÁM CHUYÊN KHOA Y HỌC CỔ TRUYỀN TƯ NHÂN LƯƠNG MINH ĐƯỜNG</t>
  </si>
  <si>
    <t>Lương Văn Minh</t>
  </si>
  <si>
    <t>Xóm Kim Sơn- Xã Nghi Ân- TP.Vinh</t>
  </si>
  <si>
    <t>1094/NA-GPHĐ</t>
  </si>
  <si>
    <t xml:space="preserve">PHÒNG CHẨN TRỊ Y HỌC CỔ TRUYỀN TƯ NHÂN </t>
  </si>
  <si>
    <t>Nguyễn Văn Diệu</t>
  </si>
  <si>
    <t>Xóm 05- Xã Thanh Chi- Thanh Chương</t>
  </si>
  <si>
    <t>1095/NA-GPHĐ</t>
  </si>
  <si>
    <t>Trần Thị Lan Phương</t>
  </si>
  <si>
    <t>Tầng 01, Nhà 91A – Đ. Hoàng Thị Loan – TP.Vinh</t>
  </si>
  <si>
    <t xml:space="preserve">1096/NA-GPHĐ </t>
  </si>
  <si>
    <t>PHÒNG  XÉT NGHIỆM  TƯ NHÂN MEDLATEC NGHỆ AN</t>
  </si>
  <si>
    <t>Bùi Thị Thảo</t>
  </si>
  <si>
    <t>Tầng 02, Nhà 91A – Đ. Hoàng Thị Loan – TP.Vinh</t>
  </si>
  <si>
    <t>1099/NA-GPHĐ</t>
  </si>
  <si>
    <t>Nguyễn Cao Gia Nguyên</t>
  </si>
  <si>
    <t>Xóm 1 Thanh Tân- Xã Kỳ Tân- Tân Kỳ</t>
  </si>
  <si>
    <t>1100/NA-GPHĐ</t>
  </si>
  <si>
    <t>PHÒNG KHÁM BỆNH CHUYÊN KHOA NỘI THẦN KINH TƯ NHÂN</t>
  </si>
  <si>
    <t>Kiều Văn Dương</t>
  </si>
  <si>
    <t>Số 41- Đ. Tôn Thất Tùng- TP.Vinh</t>
  </si>
  <si>
    <t>1102/NA-GPHĐ</t>
  </si>
  <si>
    <t>PHÒNG KHÁM BỆNH DA LIỄU TƯ NHÂN NGỌC DUNG</t>
  </si>
  <si>
    <t>Đỗ Văn Miên</t>
  </si>
  <si>
    <t>Tầng 1, LK07,tòa nhà EuroWindow, số 02- Đ. Trần Phú- TP.Vinh</t>
  </si>
  <si>
    <t>1103/NA-GPHĐ</t>
  </si>
  <si>
    <t>Phan Thị Tố Quyên</t>
  </si>
  <si>
    <t>1104/NA-GPHĐ</t>
  </si>
  <si>
    <t>Nguyễn Quốc Sơn</t>
  </si>
  <si>
    <t>Số 08- Đ. Lê nin, Xã Nghi Phú- TP. Vinh</t>
  </si>
  <si>
    <t>Dịch vụ kính thuốc</t>
  </si>
  <si>
    <t>1105/NA-GPHĐ</t>
  </si>
  <si>
    <t>Nguyễn Huy Thông</t>
  </si>
  <si>
    <t>0194/NA-GPHĐ</t>
  </si>
  <si>
    <t>Nguyễn Sỹ Cát</t>
  </si>
  <si>
    <t>Xóm 03- Xã Thanh Lương- Thanh Chương</t>
  </si>
  <si>
    <t>1107/NA-GPHĐ</t>
  </si>
  <si>
    <t>PHÒNG KHÁM BỆNH NỘI KHOA TỔNG HỢP</t>
  </si>
  <si>
    <t>Nguyễn Duy Hướng</t>
  </si>
  <si>
    <t>Xóm Tân Vĩnh- Xã Vĩnh Thành- Yên Thành</t>
  </si>
  <si>
    <t>1108/NA-GPHĐ</t>
  </si>
  <si>
    <t>Đặng Quỳnh Trang</t>
  </si>
  <si>
    <t>Số 75- Đ. Hoàng Thị Loan- TP.Vinh</t>
  </si>
  <si>
    <t>1109/NA-GPHĐ</t>
  </si>
  <si>
    <t>Nguyễn Thái Sơn</t>
  </si>
  <si>
    <t>Xóm Minh Xuân- Xã Minh Hợp- Quỳ Hợp</t>
  </si>
  <si>
    <t xml:space="preserve">1110/NA-GPHĐ </t>
  </si>
  <si>
    <t>PHÒNG KHÁM CHUYÊN KHOA Y HỌC CỔ TRUYỀN TƯ NHÂN</t>
  </si>
  <si>
    <t>Võ Lưu Hòa</t>
  </si>
  <si>
    <t>Tầng 3/Nhà số 137- Đ.Hermann Gmeiner- TP.Vinh</t>
  </si>
  <si>
    <t>PHÒNG KHÁM BỆNH RĂNG-HÀM-MẶT TƯ NHÂN LÊ QUÂN</t>
  </si>
  <si>
    <t>Võ Thị Thanh Hương</t>
  </si>
  <si>
    <t>Khối 01- P. Nghi Thu- Tx. Cửa Lò</t>
  </si>
  <si>
    <t>1113/NA-GPHĐ</t>
  </si>
  <si>
    <t>Nguyễn Thị Hồng Minh</t>
  </si>
  <si>
    <t>Nhà số 3, Ngõ 17- Đ. Phùng Chí Kiên- TP.Vinh</t>
  </si>
  <si>
    <t>1114/NA-GPHĐ</t>
  </si>
  <si>
    <t>PHÒNG KHÁM BỆNH MẮT  TƯ NHÂN TRÍ THUẬN</t>
  </si>
  <si>
    <t>Ngô Trí Thuận</t>
  </si>
  <si>
    <t>Tổ dân phố Toàn Thắng- P.Mai Hùng- Tx.Hoàng Mai</t>
  </si>
  <si>
    <t>1115/NA-GPHĐ</t>
  </si>
  <si>
    <t>PHÒNG KHÁM BỆNH RĂNG-HÀM-MẶT TƯ NHÂN TÂN TIẾN</t>
  </si>
  <si>
    <t>Vi Thị Hương Thảo</t>
  </si>
  <si>
    <t>Xóm 01- Xã Diễn Xuân- Diễn Châu</t>
  </si>
  <si>
    <t>1116/NA-GPHĐ</t>
  </si>
  <si>
    <t>PHÒNG KHÁM BỆNH RĂNG-HÀM-MẶT TƯ NHÂN HIỀN HÒA</t>
  </si>
  <si>
    <t>Võ Thị Thu Hiền</t>
  </si>
  <si>
    <t>Số 47-BT03- Đ. Trương Vân Lĩnh- TP.Vinh</t>
  </si>
  <si>
    <t>0208/NA-GPHĐ</t>
  </si>
  <si>
    <t>PHÒNG KHÁM BỆNH NGOẠI KHOA TƯ NHÂN Dr CHIẾN</t>
  </si>
  <si>
    <t>Chu Văn Chiến</t>
  </si>
  <si>
    <t>Xóm 10- Xã Nghi Phú- TP.Vinh</t>
  </si>
  <si>
    <t>1117/NA-GPHĐ</t>
  </si>
  <si>
    <t>Lê Văn Sỹ</t>
  </si>
  <si>
    <t>Số 21/tầng trệt- chung cư Tân Phúc- Vinh Tân-</t>
  </si>
  <si>
    <t>0065/NA-GPHĐ</t>
  </si>
  <si>
    <t>Khối 10- P. Nghi Thủy- Tx. Cửa Lò</t>
  </si>
  <si>
    <t>1120/NA-GPHĐ</t>
  </si>
  <si>
    <t>PHÒNG KHÁM BỆNH CHUYÊN KHOA Y HỌC CỔ TRUYỀN THANH THÀNH ĐẠT</t>
  </si>
  <si>
    <t>Nguyễn Hữu Trí</t>
  </si>
  <si>
    <t>Số 19- Đ. Nguyễn Sỹ Sách- TP.vinh</t>
  </si>
  <si>
    <t>0173/NA-GPHĐ</t>
  </si>
  <si>
    <t xml:space="preserve">PHÒNG KHÁM BỆNH DA LIỄU TƯ NHÂN BÁC SỸ VŨ  </t>
  </si>
  <si>
    <t>Trương Quang Vũ</t>
  </si>
  <si>
    <t>Khối Bắc Mỹ- P. Quỳnh Thiện- TX. Hoàng Mai</t>
  </si>
  <si>
    <t>1121/NA-GPHĐ</t>
  </si>
  <si>
    <t>PHÒNG KHÁM BỆNH RĂNG-HÀM-MẶT  BÁC SỸ TRANG</t>
  </si>
  <si>
    <t>Phạm Quỳnh Trang</t>
  </si>
  <si>
    <t>Xóm 3- Xã Phúc Sơn- Anh Sơn</t>
  </si>
  <si>
    <t>1122/NA-GPHĐ</t>
  </si>
  <si>
    <t>Phạm Thanh Bình</t>
  </si>
  <si>
    <t>Xóm 05- Xã Quỳnh Minh- Quỳnh Lưu</t>
  </si>
  <si>
    <t xml:space="preserve">1010/NA-GPHĐ </t>
  </si>
  <si>
    <t>Nguyễn Thị Lê Trang</t>
  </si>
  <si>
    <t>Tầng 1/Số 97- Đ. Nguyễn Phong Sắc- TP.Vinh</t>
  </si>
  <si>
    <t>1097/NA-GPHĐ</t>
  </si>
  <si>
    <t>Hồ Giang Nam</t>
  </si>
  <si>
    <t>Tầng 2/Số 97- Đ. Nguyễn Phong Sắc- TP.Vinh</t>
  </si>
  <si>
    <t>1098/NA-GPHĐ</t>
  </si>
  <si>
    <t>PHÒNG CHẨN TRỊ Y HỌC CỔ TRUYỀN TƯ NHÂN CẬY TÂM ĐƯỜNG</t>
  </si>
  <si>
    <t>Hồ Huy Cậy</t>
  </si>
  <si>
    <t>Số nhà 24/Ngõ 2- Đ. Hoàng Phan Thái- TP.vinh</t>
  </si>
  <si>
    <t>1124/NA-GPHĐ</t>
  </si>
  <si>
    <t>PHÒNG KHÁM BỆNH CHUYÊN KHOA Y HỌC CỔ TRUYỀN TƯ NHÂN NGỌA LONG ĐƯỜNG</t>
  </si>
  <si>
    <t>Nguyễn Đình Tiến</t>
  </si>
  <si>
    <t>Số 19- Đ. Phan Đăng Lưu- TP.vinh</t>
  </si>
  <si>
    <t>1125/NA-GPHĐ</t>
  </si>
  <si>
    <t>Ngô Thị Thư</t>
  </si>
  <si>
    <t>Số 195, khối Phan Bội Châu-TT Nam Đàn- Nam Đàn</t>
  </si>
  <si>
    <t>1126/NA-GPHĐ</t>
  </si>
  <si>
    <t>Trần Thị Liễu</t>
  </si>
  <si>
    <t>Khối Kim Tân- P. Hòa Hiếu- Tx. Thái Hòa</t>
  </si>
  <si>
    <t>1127/NA-GPHĐ</t>
  </si>
  <si>
    <t>PHÒNG KHÁM BỆNH NỘI KHOA TƯ NHÂN HUYỀN VINH</t>
  </si>
  <si>
    <t>Lê Thị Thanh Huyền</t>
  </si>
  <si>
    <t>Số 110- Đ. Phạm Đình Toái- TP.Vinh</t>
  </si>
  <si>
    <t>1128/NA-GPHĐ</t>
  </si>
  <si>
    <t>Nguyễn Trường Lưu</t>
  </si>
  <si>
    <t>Số 52- Đ. Văn Đức Giai- TP.Vinh</t>
  </si>
  <si>
    <t>1129/NA-GPHĐ</t>
  </si>
  <si>
    <t>PHÒNG KHÁM BỆNH NỘI KHOA TƯ NHÂN LÊ XUÂN THIẾT</t>
  </si>
  <si>
    <t>Lê Xuân Thiết</t>
  </si>
  <si>
    <t>Xóm 4- Xã Nghĩa Thuận- Tx. Thái Hòa</t>
  </si>
  <si>
    <t>1130/NA-GPHĐ</t>
  </si>
  <si>
    <t>Ngô Đức Sơn</t>
  </si>
  <si>
    <t>Số nhà 07/Ngõ 165- Đ. Hà Huy Tập- TP.Vinh</t>
  </si>
  <si>
    <t>0144/NA-GPHĐ</t>
  </si>
  <si>
    <t>Lê Nguyên Ngọc</t>
  </si>
  <si>
    <t>Số 03 – Đ. Phan Vân – TP.Vinh</t>
  </si>
  <si>
    <t>0046/NA-GPHĐ</t>
  </si>
  <si>
    <t>PHÒNG KHÁM BỆNH NỘI KHOA TƯ NHÂN SÔNG LAM</t>
  </si>
  <si>
    <t>Nguyễn Thị Mai</t>
  </si>
  <si>
    <t>Xóm 01- Xã Lưu Son- Đô Lương</t>
  </si>
  <si>
    <t>1043/NA-GPHĐ</t>
  </si>
  <si>
    <t>Nguyễn Doãn Tình</t>
  </si>
  <si>
    <t>Xóm 03- Xã Hạnh Lâm- Thanh Chương</t>
  </si>
  <si>
    <t>1131/NA-GPHĐ</t>
  </si>
  <si>
    <t>PHÒNG KHÁM BỆNH TAI-MŨI-HỌNG TƯ NHÂN BS. HẢI</t>
  </si>
  <si>
    <t>Phạm Văn Hải</t>
  </si>
  <si>
    <t>Khối Tây Hồ I- P. Quang Tiến- Tx. Thái Hòa</t>
  </si>
  <si>
    <t>1132/NA-GPHĐ</t>
  </si>
  <si>
    <t>PHÒNG KHÁM BỆNH TAI-MŨI-HỌNG TƯ NHÂN CHÍNH HƯỜNG</t>
  </si>
  <si>
    <t>Phan Đức Chính</t>
  </si>
  <si>
    <t>Số 46- Đ. An Dương Vương- TP.Vinh</t>
  </si>
  <si>
    <t>1101/NA-GPHĐ</t>
  </si>
  <si>
    <t>Trương Tuấn Diệu</t>
  </si>
  <si>
    <t>Số 98- Đ. Nguyễn Du- TP.Vinh</t>
  </si>
  <si>
    <t>1019/NA-GPHĐ</t>
  </si>
  <si>
    <t>Hồ Đăng Mười</t>
  </si>
  <si>
    <t>Số 28/Ngõ 68- Đ. Nguyễn Sỹ Sách- TP.Vinh</t>
  </si>
  <si>
    <t>1134/NA-GPHĐ</t>
  </si>
  <si>
    <t>PHÒNG KHÁM BỆNH NHI KHOA TƯ NHÂN MINH CHÂU</t>
  </si>
  <si>
    <t>Đậu Thị Hội</t>
  </si>
  <si>
    <t>Số 35- Đ. Văn Tân- TP.Vinh</t>
  </si>
  <si>
    <t>1135/NA-GPHĐ</t>
  </si>
  <si>
    <t>PHÒNG KHÁM BỆNH NGOẠI KHOA TƯ NHÂN MINH CHÂU</t>
  </si>
  <si>
    <t>Lê Như Dũng</t>
  </si>
  <si>
    <t>1136/NA-GPHĐ</t>
  </si>
  <si>
    <t>PHÒNG KHÁM BỆNH RĂNG-HÀM-MẶT TƯ NHÂN BS. NGUYÊN</t>
  </si>
  <si>
    <t>Lộc Văn Nguyên</t>
  </si>
  <si>
    <t>Số 25- Khe Chi- TT Thạch Giám- Tương Dương</t>
  </si>
  <si>
    <t>1137/NA-GPHĐ</t>
  </si>
  <si>
    <t>PHÒNG KHÁM BỆNH NỘI KHOA TƯ NHÂN TÂM TRÍ ĐỨC</t>
  </si>
  <si>
    <t>Lô Văn Hùng</t>
  </si>
  <si>
    <t>Khối Hòa Nam- TT Thạch Giám- Tương Dương</t>
  </si>
  <si>
    <t>1138/NA-GPHĐ</t>
  </si>
  <si>
    <t xml:space="preserve">PHÒNG KHÁM BỆNH RĂNG-HÀM-MẶT TƯ NHÂN NICE SMILE  </t>
  </si>
  <si>
    <t>Đậu Thị Hồng Nhung</t>
  </si>
  <si>
    <t>Số 69- Đ. Nguyễn Sỹ Sách- TP.Vinh</t>
  </si>
  <si>
    <t>0998/NA-GPHĐ</t>
  </si>
  <si>
    <t>PHÒNG KHÁM BỆNH RĂNG-HÀM-MẶT TƯ NHÂN XUÂN THỦY</t>
  </si>
  <si>
    <t>Đậu Đức Dũng</t>
  </si>
  <si>
    <t>Xóm 2- Xã Nghi Phương- Nghi Lộc</t>
  </si>
  <si>
    <t>0852/NA-GPHĐ</t>
  </si>
  <si>
    <t>PHÒNG KHÁM BỆNH RĂNG-HÀM-MẶT TƯ NHÂN HẠNH PHÚC</t>
  </si>
  <si>
    <t>Văn Thị Nhung</t>
  </si>
  <si>
    <t>Số nhà 05- Đ. Trần Quốc Hoàn- TP.Vinh</t>
  </si>
  <si>
    <t>1139/NA-GPHĐ</t>
  </si>
  <si>
    <t>Lê Đăng Quang</t>
  </si>
  <si>
    <t>Số 30/Ngõ 18- Đ. Nguyễn Đức Cảnh- TP.Vinh</t>
  </si>
  <si>
    <t>1140/NA-GPHĐ</t>
  </si>
  <si>
    <t>PHÒNG  XÉT NGHIỆM  TƯ NHÂN TÂY PHỦ DIỄN</t>
  </si>
  <si>
    <t>Xóm 7- Xã Diễn Phúc- Diễn Châu</t>
  </si>
  <si>
    <t>1141/NA-GPHĐ</t>
  </si>
  <si>
    <t>PHÒNG KHÁM BỆNH MẮT  TƯ NHÂN THANH VÂN</t>
  </si>
  <si>
    <t>Nguyễn Việt Thanh</t>
  </si>
  <si>
    <t>1142/NA-GPHĐ</t>
  </si>
  <si>
    <t>Nguyễn Tất Nam</t>
  </si>
  <si>
    <t>Xóm Xuân Trang- Xã Nghi Đức- TP.Vinh</t>
  </si>
  <si>
    <t>1143/NA-GPHĐ</t>
  </si>
  <si>
    <t xml:space="preserve">PHÒNG KHÁM CHUYÊN KHOA Y HỌC CỔ TRUYỀN TƯ NHÂN  </t>
  </si>
  <si>
    <t>Nguyễn Sỹ An</t>
  </si>
  <si>
    <t>Thị tứ Chợ Cồn- Xã Thanh Dương- Thanh Chương</t>
  </si>
  <si>
    <t>1144/NA-GPHĐ</t>
  </si>
  <si>
    <t>Nguyễn Hữu Đạo</t>
  </si>
  <si>
    <t>Thôn 4- Xã Tam Sơn- Anh Sơn</t>
  </si>
  <si>
    <t>1145/NA-GPHĐ</t>
  </si>
  <si>
    <t>PHÒNG KHÁM BỆNH NỘI KHOA TƯ NHÂN BÁC SỸ HOÀN</t>
  </si>
  <si>
    <t>Lê Văn Hoàn</t>
  </si>
  <si>
    <t>Xóm 3- Xã Quỳnh Hồng- Quỳnh Lưu</t>
  </si>
  <si>
    <t>1146/NA-GPHĐ</t>
  </si>
  <si>
    <t>PHÒNG KHÁM BỆNH RĂNG-HÀM-MẶT TƯ NHÂN TÂY ÂU</t>
  </si>
  <si>
    <t>Lê Thị Thanh Hiên</t>
  </si>
  <si>
    <t>Tầng 01/Nhà 07- Đ. Mai Hắc Đế- TP.Vinh</t>
  </si>
  <si>
    <t>1147/NA-GPHĐ</t>
  </si>
  <si>
    <t>PHÒNG KHÁM BỆNH TAI-MŨI-HỌNG TƯ NHÂN BS. HÙNG</t>
  </si>
  <si>
    <t>Nguyễn Bá Hùng</t>
  </si>
  <si>
    <t>Khối Tân Phong- P. Quỳnh Thiện- Tx. Hoàng Mai</t>
  </si>
  <si>
    <t>1148/NA-GPHĐ</t>
  </si>
  <si>
    <t>Cao Khắc Anh</t>
  </si>
  <si>
    <t>Số 226- Đ. Ngô Đức Kế- TP. Vinh</t>
  </si>
  <si>
    <t>1149/NA-GPHĐ</t>
  </si>
  <si>
    <t>Nguyễn Xuân Lập</t>
  </si>
  <si>
    <t>Xóm Phúc Thiêm- Xã Diễn Phúc- Diễn Châu</t>
  </si>
  <si>
    <t>1151/NA-GPHĐ</t>
  </si>
  <si>
    <t xml:space="preserve">PHÒNG CHẨN TRỊ Y HỌC CỔ TRUYỀN TRẦN THỊ HUỆ  </t>
  </si>
  <si>
    <t>Trần Thị Huệ</t>
  </si>
  <si>
    <t>Khối 2A- TT Thanh Chương- Thanh Chương</t>
  </si>
  <si>
    <t>1153/NA-GPHĐ</t>
  </si>
  <si>
    <t>PHÒNG KHÁM BỆNH RĂNG-HÀM-MẶT HÀ HUY SINH</t>
  </si>
  <si>
    <t>Hoàng Trung Thịnh</t>
  </si>
  <si>
    <t>Xóm Hợp Xuân- Xã Nghĩa Xuân- Quỳ Hợp</t>
  </si>
  <si>
    <t>1154/NA-GPHĐ</t>
  </si>
  <si>
    <t>PHÒNG KHÁM BỆNH CHUYÊN KHOA Y HỌC CỔ TRUYỀN  TRƯỜNG SINH NGỌC HÀ</t>
  </si>
  <si>
    <t>Trần Thị Xin</t>
  </si>
  <si>
    <t>Xóm 8,  xã Hưng Đạo,  Hưng Nguyên</t>
  </si>
  <si>
    <t>PHÒNG KHÁM BỆNH NỘI KHOA BÌNH AN QUẾ PHONG</t>
  </si>
  <si>
    <t>Quang Thị Ngọc</t>
  </si>
  <si>
    <t>Khối Bản Bon- TT Kim Sơn- Quế Phong</t>
  </si>
  <si>
    <t>1162/NA-GPHĐ</t>
  </si>
  <si>
    <t>PHÒNG KHÁM BỆNH NỘI KHOA NAM HƯỜNG</t>
  </si>
  <si>
    <t>Nguyễn Hải Nam</t>
  </si>
  <si>
    <t>Xóm 5- Xã Thọ Thành- Yên Thành</t>
  </si>
  <si>
    <t>1163/NA-GPHĐ</t>
  </si>
  <si>
    <t>PHÒNG KHÁM BỆNH SẢN PHỤ KHOA AN ĐỨC</t>
  </si>
  <si>
    <t>Bùi Trường Giang</t>
  </si>
  <si>
    <t>Xóm Dinh Phượng- Xã Nghĩa Xuân- Quỳ Hợp</t>
  </si>
  <si>
    <t>1164/NA-GPHĐ</t>
  </si>
  <si>
    <t xml:space="preserve">PHÒNG CHẨN TRỊ Y HỌC CỔ TRUYỀN NGUYỄN THANH NHÀN  </t>
  </si>
  <si>
    <t>Nguyễn Thanh Nhàn</t>
  </si>
  <si>
    <t>Khối Vĩnh Tân- P. Nghi Hương- TX. Cửa Lò</t>
  </si>
  <si>
    <t>1165/NA-GPHĐ</t>
  </si>
  <si>
    <t>PHÒNG KHÁM BỆNH NGOẠI KHOA TƯ NHÂN CHỢ ĐÌNH</t>
  </si>
  <si>
    <t>Chu Văn Nam</t>
  </si>
  <si>
    <t>Xóm Chợ Đình- Xã Diễn Mỹ- Diễn Châu</t>
  </si>
  <si>
    <t>1119/NA-GPHĐ</t>
  </si>
  <si>
    <t>PHÒNG KHÁM BỆNH NỘI KHOA AN ĐỨC</t>
  </si>
  <si>
    <t>Lê Văn An</t>
  </si>
  <si>
    <t>1169/NA-GPHĐ</t>
  </si>
  <si>
    <t>PHÒNG KHÁM BỆNH RĂNG-HÀM-MẶT VINH</t>
  </si>
  <si>
    <t>Nguyễn Thanh Thủy</t>
  </si>
  <si>
    <t>Số 27- Đ. Nguyễn Phong Sắc- TP.Vinh</t>
  </si>
  <si>
    <t>1177/NA-GPHĐ</t>
  </si>
  <si>
    <t>PHÒNG KHÁM BỆNH RĂNG-HÀM-MẶT BÌNH DÂN 2</t>
  </si>
  <si>
    <t>Nguyễn Thị Cẩm Tú</t>
  </si>
  <si>
    <t>Số 171- Đ. Trần Hưng Đạo- TP.Vinh</t>
  </si>
  <si>
    <t>1178/NA-GPHĐ</t>
  </si>
  <si>
    <t>PHÒNG KHÁM BỆNH NGOẠI KHOA AN NHIÊN</t>
  </si>
  <si>
    <t>Xóm 10A- Xã Bảo Thành- Yên Thành</t>
  </si>
  <si>
    <t>1179/NA-GPHĐ</t>
  </si>
  <si>
    <t xml:space="preserve">PHÒNG CHẨN TRỊ Y HỌC CỔ TRUYỀN CAO HỔ HÂN  </t>
  </si>
  <si>
    <t>Cao Hổ Hân</t>
  </si>
  <si>
    <t>Xóm Yên Quang- Diễn Ngọc- Diễn Châu</t>
  </si>
  <si>
    <t>1181/NA-GPHĐ</t>
  </si>
  <si>
    <t>PHÒNG CHẨN ĐOÁN HÌNH ẢNH  BÁC SĨ CƯỜNG</t>
  </si>
  <si>
    <t>Nguyễn Văn Cường</t>
  </si>
  <si>
    <t>Số 79- Đ. Tôn Thất Tùng- TP.Vinh</t>
  </si>
  <si>
    <t>1183/NA-GPHĐ</t>
  </si>
  <si>
    <t>PHÒNG CHẨN ĐOÁN HÌNH ẢNH  BÁC SĨ VINH</t>
  </si>
  <si>
    <t>Vương Khả Vinh</t>
  </si>
  <si>
    <t>Xóm Tân Hợp- Xã Nghĩa Tiến- TX. Thái Hòa</t>
  </si>
  <si>
    <t>1184/NA-GPHĐ</t>
  </si>
  <si>
    <t>PHÒNG KHÁM BỆNH NHI KHOA THẢO NGUYÊN</t>
  </si>
  <si>
    <t>Thái Gia Nguyên</t>
  </si>
  <si>
    <t>Xóm 9- Xã Nghi Trung- Nghi Lộc</t>
  </si>
  <si>
    <t>1185/NA-GPHĐ</t>
  </si>
  <si>
    <t>PHÒNG KHÁM BỆNH NỘI KHOA AN TỪ TÂM</t>
  </si>
  <si>
    <t>Trần Đình Tỵ</t>
  </si>
  <si>
    <t>Khối 1A- TT Thanh Chương- H. Thanh Chương</t>
  </si>
  <si>
    <t>1186/NA-GPHĐ</t>
  </si>
  <si>
    <t>PHÒNG KHÁM BỆNH TAI-MŨI-HỌNG AN TỪ TÂM</t>
  </si>
  <si>
    <t>Phạm Ngọc Thành</t>
  </si>
  <si>
    <t>1187/NA-GPHĐ</t>
  </si>
  <si>
    <t>DỊCH VỤ TRỒNG RĂNG GIẢ TÂM ĐỨC</t>
  </si>
  <si>
    <t>Hoàng Thị Sơn</t>
  </si>
  <si>
    <t>Số 67C- Đ. Nguyễn Xí- TX. Cửa Lò</t>
  </si>
  <si>
    <t>1188/NA-GPHĐ</t>
  </si>
  <si>
    <t>PHÒNG KHÁM BỆNH CHUYÊN KHOA Y HỌC CỔ TRUYỀN NGUYỄN CÔNG THỊNH</t>
  </si>
  <si>
    <t>Nguyễn Công Thịnh</t>
  </si>
  <si>
    <t>Thôn 2- Xã Long Sơn- Anh Sơn</t>
  </si>
  <si>
    <t>1189/NA-GPHĐ</t>
  </si>
  <si>
    <t>PHÒNG KHÁM BỆNH NỘI KHOA HƯNG HÀ</t>
  </si>
  <si>
    <t>Trần Xuân Hưng</t>
  </si>
  <si>
    <t>Khối Bắc- Xã Diễn Hồng- Diễn Châu</t>
  </si>
  <si>
    <t>1190/NA-GPHĐ</t>
  </si>
  <si>
    <t>PHÒNG KHÁM BỆNH SẢN PHỤ KHOA HƯNG HÀ</t>
  </si>
  <si>
    <t>Trần Thị Ngọc Hà</t>
  </si>
  <si>
    <t>1191/NA-GPHĐ</t>
  </si>
  <si>
    <t>PHÒNG KHÁM BỆNH RĂNG-HÀM-MẶT TƯ NHÂN VINH</t>
  </si>
  <si>
    <t>Nguyễn Hữu Việt</t>
  </si>
  <si>
    <t>Số 204- Đ. Ngô Đức Kế- TP.Vinh</t>
  </si>
  <si>
    <t>1192/NA-GPHĐ</t>
  </si>
  <si>
    <t>PHÒNG KHÁM BỆNH NỘI KHOA XUÂN QUÂN</t>
  </si>
  <si>
    <t>Hồ Thị Thanh Xuân</t>
  </si>
  <si>
    <t>Xóm Trung Xuân- Xã Nghĩa Trung- Nghĩa Đàn</t>
  </si>
  <si>
    <t>1193/NA-GPHĐ</t>
  </si>
  <si>
    <t>Nguyễn Trung Phong</t>
  </si>
  <si>
    <t>Khối Tân Mai- TT Nghĩa Đàn- H. Nghĩa Đàn</t>
  </si>
  <si>
    <t>1194/NA-GPHĐ</t>
  </si>
  <si>
    <t xml:space="preserve">PHÒNG KHÁM BỆNH CHUYÊN KHOA MẮT QUỲNH NGA  </t>
  </si>
  <si>
    <t>Lương Xuân Quỳnh</t>
  </si>
  <si>
    <t>Bản Kẻ Bọn- Xã Châu Hạnh- Quỳ Châu</t>
  </si>
  <si>
    <t>1195/NA-GPHĐ</t>
  </si>
  <si>
    <t>PHÒNG CHẨN ĐOÁN HÌNH ẢNH  MINH TÂM AN</t>
  </si>
  <si>
    <t>Trần Tất Thắng</t>
  </si>
  <si>
    <t>Thôn 5- Xã Quỳnh Lộc- TX. Hoàng Mai</t>
  </si>
  <si>
    <t>1196/NA-GPHĐ</t>
  </si>
  <si>
    <t>PHÒNG KHÁM BỆNH RĂNG-HÀM-MẶT CẨM TÚ</t>
  </si>
  <si>
    <t>Đặng Việt Hùng</t>
  </si>
  <si>
    <t>Số 25B- Đ. Vương Thúc Mậu- TP.Vinh</t>
  </si>
  <si>
    <t>0653/NA-GPHĐ</t>
  </si>
  <si>
    <t>PHÒNG KHÁM BỆNH NỘI KHOA MINH SƠN</t>
  </si>
  <si>
    <t>Võ Hồng Sơn</t>
  </si>
  <si>
    <t>Số 36- Đ. Nguyễn Văn Trỗi- TP.Vinh</t>
  </si>
  <si>
    <t>1036/NA-GPHĐ</t>
  </si>
  <si>
    <t>PHÒNG KHÁM BỆNH CHUYÊN KHOA MẮT</t>
  </si>
  <si>
    <t>Nguyễn Văn Khang</t>
  </si>
  <si>
    <t>Số 64- Đ. Phạm Đình Toái- TP.Vinh</t>
  </si>
  <si>
    <t>1197/NA-GPHĐ</t>
  </si>
  <si>
    <t>PHÒNG KHÁM BỆNH CHUYÊN KHOA Y HỌC CỔ TRUYỀN HẰNG NHÂN ĐƯỜNG</t>
  </si>
  <si>
    <t>Vương Chí Nhân</t>
  </si>
  <si>
    <t>Xóm Thị tứ- Xã Hồng Thành- Yên Thành</t>
  </si>
  <si>
    <t>1198/NA-GPHĐ</t>
  </si>
  <si>
    <t>Hà Văn Quỳnh</t>
  </si>
  <si>
    <t>Số 51- Đ. ĐĐT 3191-Thôn Liên Trà- Xã Bồng Khê-Con Cuông</t>
  </si>
  <si>
    <t>0087/NA-GPHĐ</t>
  </si>
  <si>
    <t>PHÒNG KHÁM BỆNH RĂNG-HÀM-MẶT TƯ NHÂN PHÚ HƯƠNG</t>
  </si>
  <si>
    <t>Mạc Văn Phú</t>
  </si>
  <si>
    <t>K. 04- TT Diễn Châu- Diễn Châu</t>
  </si>
  <si>
    <t>0955/NA-GPHĐ</t>
  </si>
  <si>
    <t xml:space="preserve">PHÒNG CHẨN TRỊ Y HỌC CỔ TRUYỀN XUÂN VINH  </t>
  </si>
  <si>
    <t>Nguyễn Xuân Vinh</t>
  </si>
  <si>
    <t>Xóm Liên Trường- Xã Thanh Liên- Thanh Chương</t>
  </si>
  <si>
    <t>1200/NA-GPHĐ</t>
  </si>
  <si>
    <t>PHÒNG KHÁM BỆNH CHUYÊN KHOA Y HỌC CỔ TRUYỀN THUỘC CÔNG TY THƯƠNG MẠI QUỐC TẾ DƯỢC MỸ PHẨM TMD</t>
  </si>
  <si>
    <t>Số 06, Đ. Thái Phiên (TT Vicentra, số 2, Đ. Quang Trung)- TP. Vinh</t>
  </si>
  <si>
    <t>1201/NA-GPHĐ</t>
  </si>
  <si>
    <t>PHÒNG CHẨN ĐOÁN HÌNH ẢNH  HÀ VINH</t>
  </si>
  <si>
    <t>Phan Thị Xuân</t>
  </si>
  <si>
    <t>Số 23, NV06- Đ. Hoa Sữa 3- P. Vinh Tân- TP.Vinh</t>
  </si>
  <si>
    <t>1202/NA-GPHĐ</t>
  </si>
  <si>
    <t>PHÒNG KHÁM BỆNH SẢN PHỤ KHOA TƯ NHÂN BÁC SỸ LÝ TRẦN</t>
  </si>
  <si>
    <t>Trần Thị Lý</t>
  </si>
  <si>
    <t>Xóm Hồng Long- Xã Quỳnh Hồng- Quỳnh Lưu</t>
  </si>
  <si>
    <t>1118/NA-GPHĐ</t>
  </si>
  <si>
    <t>PHÒNG KHÁM BỆNH RĂNG-HÀM-MẶT PHƯƠNG DENTIST</t>
  </si>
  <si>
    <t>Hồ Thị Thu Phương</t>
  </si>
  <si>
    <t>Số 23- Đ. Lê Viết Thuật- TP.Vinh</t>
  </si>
  <si>
    <t>0039/NA-GPHĐ</t>
  </si>
  <si>
    <t>PHÒNG KHÁM BỆNH CHUYÊN KHOA MẮT NAM NHUNG</t>
  </si>
  <si>
    <t>Số 195- Đ. Nguyễn Trãi- TP.Vinh</t>
  </si>
  <si>
    <t>1203/NA-GPHĐ</t>
  </si>
  <si>
    <t>Phạm Lợi</t>
  </si>
  <si>
    <t>Khối 5- Thị trấn Con Cuông- H. Con Cuông</t>
  </si>
  <si>
    <t>1204/NA-GPHĐ</t>
  </si>
  <si>
    <t>PHÒNG  XÉT NGHIỆM MEDILAB NGHỆ AN</t>
  </si>
  <si>
    <t>Thái Thị Linh</t>
  </si>
  <si>
    <t>Số 01 (Tầng 2) – Đ. Lê Viết Thuật – TP.Vinh</t>
  </si>
  <si>
    <t>1206/NA-GPHĐ</t>
  </si>
  <si>
    <t>PHÒNG KHÁM BỆNH NỘI KHOA THÀNH QUÝ</t>
  </si>
  <si>
    <t>Hồ Đức Quý</t>
  </si>
  <si>
    <t>Xóm 4- Xã Quỳnh Lương- Quỳnh Lưu</t>
  </si>
  <si>
    <t>1208/NA-GPHĐ</t>
  </si>
  <si>
    <t>PHÒNG KHÁM BỆNH SẢN PHỤ KHOA  BÁC SỸ HƯNG</t>
  </si>
  <si>
    <t>Lang Thị Hưng</t>
  </si>
  <si>
    <t>Khối Bắc Hồ- TT Quỳ Hợp- Quỳ Hợp</t>
  </si>
  <si>
    <t>1209/NA-GPHĐ</t>
  </si>
  <si>
    <t>PHÒNG KHÁM BỆNH NỘI KHOA AN THỊNH PHÁT</t>
  </si>
  <si>
    <t>Trần Thị Hồng Lam</t>
  </si>
  <si>
    <t>Thôn Liên Khai- Xã Thanh Liên- Thanh Chương</t>
  </si>
  <si>
    <t>1211/NA-GPHĐ</t>
  </si>
  <si>
    <t>PHÒNG KHÁM BỆNH THẦN KINH THIỆN TÂM</t>
  </si>
  <si>
    <t>Nguyễn Thanh Tùng</t>
  </si>
  <si>
    <t>Số 82- Đ. Hoàng Phan Thái- Xã Nghi Phú- TP.Vinh</t>
  </si>
  <si>
    <t>1212/NA-GPHĐ</t>
  </si>
  <si>
    <t>PHÒNG KHÁM BỆNH CHUYÊN KHOA Y HỌC CỔ TRUYỀN THIỆN TÂM</t>
  </si>
  <si>
    <t>Nguyễn Gia Anh</t>
  </si>
  <si>
    <t>1213/NA-GPHĐ</t>
  </si>
  <si>
    <t>PHÒNG KHÁM BỆNH TAI-MŨI-HỌNG 168</t>
  </si>
  <si>
    <t>Nguyễn Ngọc Hùng</t>
  </si>
  <si>
    <t>Số 168- Đ. Mai Hắc Đế- TP.Vinh</t>
  </si>
  <si>
    <t>1214/NA-GPHĐ</t>
  </si>
  <si>
    <t>PHÒNG KHÁM BỆNH TAI-MŨI-HỌNG MIỀN TRUNG</t>
  </si>
  <si>
    <t>Hoàng Nghĩa Nam</t>
  </si>
  <si>
    <t>Khối 3- TT Diễn Châu- H. Diễn Châu</t>
  </si>
  <si>
    <t>1215/NA-GPHĐ</t>
  </si>
  <si>
    <t>PHÒNG KHÁM BỆNH NỘI KHOA TƯ NHÂN ĐỒNG BẰNG</t>
  </si>
  <si>
    <t>Trần Ngọc Hạnh</t>
  </si>
  <si>
    <t>Xóm 02- xã Tăng Thành- Yên Thành</t>
  </si>
  <si>
    <t>1216/NA-GPHĐ</t>
  </si>
  <si>
    <t>PHÒNG KHÁM BỆNH NỘI KHOA TƯ NHÂN OANH QUỲNH</t>
  </si>
  <si>
    <t>Chu Đức Quỳnh</t>
  </si>
  <si>
    <t>Khối 01- TT Quán Hành- Nghi Lộc</t>
  </si>
  <si>
    <t>1217/NA-GPHĐ</t>
  </si>
  <si>
    <t>PHÒNG KHÁM BỆNH RĂNG-HÀM-MẶT TÂM VIỆT</t>
  </si>
  <si>
    <t>PHÒNG KHÁM BỆNH SẢN PHỤ KHOA  NAM ĐÀN</t>
  </si>
  <si>
    <t>Trần Anh Tú</t>
  </si>
  <si>
    <t>Khối Nam Bắc Sơn- TT Nam Đàn- H. Nam Đàn</t>
  </si>
  <si>
    <t>1218/NA-GPHĐ</t>
  </si>
  <si>
    <t>PHÒNG KHÁM BỆNH SẢN PHỤ KHOA  BS THỦY</t>
  </si>
  <si>
    <t>Trần Thị Hương</t>
  </si>
  <si>
    <t>Số 24, Ngõ A1- Đ. Herman- TP.Vinh</t>
  </si>
  <si>
    <t>1220/NA-GPHĐ</t>
  </si>
  <si>
    <t>DỊCH VỤ CHĂM SÓC SỨC KHỎE TẠI NHÀ LABVIET</t>
  </si>
  <si>
    <t>Châu Thị Phương Thảo</t>
  </si>
  <si>
    <t>Số1A, biệt thự liền kề Vinaconex9B-  Đ.Lê nin- Nghi Phú- TP.Vinh</t>
  </si>
  <si>
    <t>1221/NA-GPHĐ</t>
  </si>
  <si>
    <t>PHÒNG KHÁM BỆNH RĂNG-HÀM-MẶT HOÀNG LƯỢNG</t>
  </si>
  <si>
    <t>Hoàng Văn Lượng</t>
  </si>
  <si>
    <t>Số 08- Đ. Tôn Thất Tùng- TP. Vinh</t>
  </si>
  <si>
    <t>0979/NA-GPHĐ</t>
  </si>
  <si>
    <t>PHÒNG  XÉT NGHIỆM NAM PHỦ DIỄN</t>
  </si>
  <si>
    <t>Hoàng Văn Việt</t>
  </si>
  <si>
    <t>1222/NA-GPHĐ</t>
  </si>
  <si>
    <t>PHÒNG CHẨN ĐOÁN HÌNH ẢNH BẰNG SIÊU ÂM LÂM THỦY</t>
  </si>
  <si>
    <t>Nguyễn Thái Lâm</t>
  </si>
  <si>
    <t>Tầng 2, Nhà số 01/Ngõ 95- Đ.Nguyễn Duy Trinh-TP.Vinh</t>
  </si>
  <si>
    <t>0074/NA-GPHĐ</t>
  </si>
  <si>
    <t>PHÒNG KHÁM BỆNH CHUYÊN KHOA Y HỌC CỔ TRUYỀN</t>
  </si>
  <si>
    <t>Nguyễn Thị Hà</t>
  </si>
  <si>
    <t>Xóm 2- Xã Xuân Lâm- Nam Đàn</t>
  </si>
  <si>
    <t>1223/NA-GPHĐ</t>
  </si>
  <si>
    <t>Phan Bá Thu</t>
  </si>
  <si>
    <t>Số 34- Đ. Hồ Tông Thốc- TP.Vinh</t>
  </si>
  <si>
    <t>0272/NA-GPHĐ</t>
  </si>
  <si>
    <t>PHÒNG KHÁM BỆNH NỘI KHOA TƯ NHÂN HẢI ĐƯỜNG</t>
  </si>
  <si>
    <t>Nguyễn Tiến Thành</t>
  </si>
  <si>
    <t>Xóm 2-22, Xã Nghi Văn, Nghi Lộc</t>
  </si>
  <si>
    <t>0803/NA-GPHĐ</t>
  </si>
  <si>
    <t>PHÒNG KHÁM BỆNH NỘI KHOA TƯ NHÂN TRỌNG LƯƠNG</t>
  </si>
  <si>
    <t>Trần Văn Lương</t>
  </si>
  <si>
    <t>Xóm Chợ Mọ- Xã Hậu Thành- Yên Thành</t>
  </si>
  <si>
    <t>1112/NA-GPHĐ</t>
  </si>
  <si>
    <t>PHÒNG KHÁM BỆNH CHUYÊN KHOA DA LIỄU KOREAN</t>
  </si>
  <si>
    <t>Nguyễn Xuân Điềm</t>
  </si>
  <si>
    <t>Tầng 2, Nhà số 278- Đ. Nguyễn Văn Cừ- TP.Vinh</t>
  </si>
  <si>
    <t>1224/NA-GPHĐ</t>
  </si>
  <si>
    <t>PHÒNG KHÁM BỆNH CHUYÊN KHOA Y HỌC CỔ TRUYỀN ÔNG HÓA QUÝ</t>
  </si>
  <si>
    <t>Trần Đình Hòa</t>
  </si>
  <si>
    <t>Xóm Chợ Mõ- Xã Hậu Thành- Yên Thành</t>
  </si>
  <si>
    <t>1226/NA-GPHĐ</t>
  </si>
  <si>
    <t>PHÒNG KHÁM BỆNH NỘI KHOA BÁ THỜI</t>
  </si>
  <si>
    <t>Nguyễn Bá Thời</t>
  </si>
  <si>
    <t>Số 27C- Đ. Minh Tân- P. Hưng Bình- TP.Vinh</t>
  </si>
  <si>
    <t>1227/NA-GPHĐ</t>
  </si>
  <si>
    <t>PHÒNG KHÁM BỆNH NỘI KHOA TOÀN LINH</t>
  </si>
  <si>
    <t>Nguyễn Trung Kiên</t>
  </si>
  <si>
    <t>1228/NA-GPHĐ</t>
  </si>
  <si>
    <t>PHÒNG KHÁM BỆNH RĂNG-HÀM-MẶT</t>
  </si>
  <si>
    <t>Lê Trung Sơn</t>
  </si>
  <si>
    <t>Tầng 1, 2 / Nhà số 22- Đ. Cao Thắng- TP. Vinh</t>
  </si>
  <si>
    <t>1229/NA-GPHĐ</t>
  </si>
  <si>
    <t>PHÒNG KHÁM BỆNH NGOẠI KHOA TƯ NHÂN</t>
  </si>
  <si>
    <t>Trần Doãn Chung</t>
  </si>
  <si>
    <t>Số 58B- Đ. Nguyễn Duy Trinh- TP.Vinh</t>
  </si>
  <si>
    <t>1230/NA-GPHĐ</t>
  </si>
  <si>
    <t>PHÒNG KHÁM BỆNH SẢN PHỤ KHOA  Đr LÊ NA</t>
  </si>
  <si>
    <t>Trần Thị Lê Na</t>
  </si>
  <si>
    <t>Xóm Phú Thành- Xã Tây Hiếu- TX Thái Hòa</t>
  </si>
  <si>
    <t>1232/NA-GPHĐ</t>
  </si>
  <si>
    <t>PHÒNG KHÁM BỆNH CK  DA LIỄU MSC</t>
  </si>
  <si>
    <t>Tầng 1, 2, Nhà số 39A- Đ. Lê Hồng Phong- TP.Vinh</t>
  </si>
  <si>
    <t>1233/NA-GPHĐ</t>
  </si>
  <si>
    <t>PHÒNG KHÁM BỆNH TAI-MŨI-HỌNG NAM ANH DŨNG</t>
  </si>
  <si>
    <t>Lê Hoài Nam</t>
  </si>
  <si>
    <t>Xóm 1- Xã Diễn Xuân- Diễn Châu</t>
  </si>
  <si>
    <t>1234/NA-GPHĐ</t>
  </si>
  <si>
    <t>PHÒNG CHẨN TRỊ Y HỌC CỔ TRUYỀN NHẬT MINH ĐƯỜNG</t>
  </si>
  <si>
    <t>Ngô Thành Khâm</t>
  </si>
  <si>
    <t>Khối Đồng Tâm- P. Hòa Hiếu- Tx Thái Hòa</t>
  </si>
  <si>
    <t>0809/NA-GPHĐ</t>
  </si>
  <si>
    <t>PHÒNG KHÁM CHUYÊN KHOA THẨM MỸ HƯỜNG XÔ</t>
  </si>
  <si>
    <t>Lê Tấn Hùng</t>
  </si>
  <si>
    <t>Tầng 3 nhà số 02,  Đại lộ Lê-nin, TP.Vinh</t>
  </si>
  <si>
    <t>1002/NA-GPHĐ</t>
  </si>
  <si>
    <t>PHÒNG KHÁM BỆNH RĂNG-HÀM-MẶT HOÀN MỸ</t>
  </si>
  <si>
    <t>Nguyễn Trung Hướng</t>
  </si>
  <si>
    <t>Tầng 1/Nhà số 172-  Đ. Nguyễn Du – TP.Vinh</t>
  </si>
  <si>
    <t>0077/NA-GPHĐ</t>
  </si>
  <si>
    <t>Hoàng Đình Nghĩa</t>
  </si>
  <si>
    <t>Khối Tây Sơn- Thị trấn Kim Sơn- Quế Phong</t>
  </si>
  <si>
    <t>1027/NA-GPHĐ</t>
  </si>
  <si>
    <t>PHÒNG KHÁM BỆNH CHUYÊN KHOA Y HỌC CỔ TRUYỀN VIỆT CƯỜNG</t>
  </si>
  <si>
    <t xml:space="preserve">Lê Đăng Việt </t>
  </si>
  <si>
    <t>Khối 9- Thị trấn Cầu Giát- Quỳnh Lưu</t>
  </si>
  <si>
    <t>1237/NA-GPHĐ</t>
  </si>
  <si>
    <t xml:space="preserve">PHÒNG  XÉT NGHIỆM  Y KHOA LÂM THỦY </t>
  </si>
  <si>
    <t>Bùi Thu Thủy</t>
  </si>
  <si>
    <t>Tầng 3, Nhà số1A/Ngõ 95– Đ. Nguyễn Duy Trinh– TP.Vinh</t>
  </si>
  <si>
    <t>0970/NA-GPHĐ</t>
  </si>
  <si>
    <t>PHÒNG  XÉT NGHIỆM  TƯ NHÂN LABVIET</t>
  </si>
  <si>
    <t>Nguyễn Xuân Mùi</t>
  </si>
  <si>
    <t>Tầng 1/Số 59- Đ. Duy Tân- TP. Vinh</t>
  </si>
  <si>
    <t xml:space="preserve"> 0887/NA-GPHĐ</t>
  </si>
  <si>
    <t>PHÒNG KHÁM BỆNH CHUYÊN KHOA MẮT BÁC SỸ THÚY</t>
  </si>
  <si>
    <t>Trần Thị Bích Thúy</t>
  </si>
  <si>
    <t>Số 266- Đ. Trường Chinh- TP.Vinh</t>
  </si>
  <si>
    <t>1238/NA-GPHĐ</t>
  </si>
  <si>
    <t>PHÒNG KHÁM BỆNH CHUYÊN KHOA UNG BƯỚU TƯ NHÂN</t>
  </si>
  <si>
    <t>Vũ Đình Giáp</t>
  </si>
  <si>
    <t>Tầng 2,3/LK15, Số 172, Đ. Nguyễn Du, TP.Vinh</t>
  </si>
  <si>
    <t>1239/NA-GPHĐ</t>
  </si>
  <si>
    <t>Đoàn Thị Hồng Nhật</t>
  </si>
  <si>
    <t>Tầng 1/LK15, Số 172, Đ. Nguyễn Du, TP.Vinh</t>
  </si>
  <si>
    <t>1025/NA-GPHĐ</t>
  </si>
  <si>
    <t xml:space="preserve">PHÒNG  XÉT NGHIỆM  Y KHOA TƯ NHÂN THÁI HÒA LAB </t>
  </si>
  <si>
    <t>Võ Thị Thủy</t>
  </si>
  <si>
    <t>Xóm Tân Hợp- Xã Nghĩa Tiến- Tx. Thái Hòa</t>
  </si>
  <si>
    <t>0971/NA-GPHĐ</t>
  </si>
  <si>
    <t>PHÒNG  XÉT NGHIỆM Y KHOA  SKY LAB</t>
  </si>
  <si>
    <t>Nguyễn Hoàng Phi</t>
  </si>
  <si>
    <t>Tầng 1/Số 77 – Đ. Tôn Thất Tùng – TP.Vinh</t>
  </si>
  <si>
    <t>1024/NA-GPHĐ</t>
  </si>
  <si>
    <t>PHÒNG CHẨN ĐOÁN HÌNH ẢNH BẰNG SIÊU ÂM DR HUY ANH</t>
  </si>
  <si>
    <t>Phan Huy Anh</t>
  </si>
  <si>
    <t>Khối 3- P. Trường Thi-TP.Vinh</t>
  </si>
  <si>
    <t>1241/NA-GPHĐ</t>
  </si>
  <si>
    <t xml:space="preserve">PHÒNG KHÁM BỆNH NHI KHOA TÂM ĐỨC THÁI HÒA </t>
  </si>
  <si>
    <t>Nguyễn Thị Thanh Lương</t>
  </si>
  <si>
    <t>1242/NA-GPHĐ</t>
  </si>
  <si>
    <t xml:space="preserve">PHÒNG KHÁM BỆNH NỘI KHOA BÁC SỸ BẢO </t>
  </si>
  <si>
    <t>Nguyễn Đức Bảo</t>
  </si>
  <si>
    <t>Khối 9- TT Hưng Nguyên- H.Hưng Nguyên</t>
  </si>
  <si>
    <t>1243/NA-GPHĐ</t>
  </si>
  <si>
    <t xml:space="preserve">PHÒNG KHÁM BỆNH NGOẠI KHOA HINH CÚC </t>
  </si>
  <si>
    <t>Phạm Đức Hinh</t>
  </si>
  <si>
    <t>Khối Lam Thanh- P. Nghi Hải- Tx. Cửa Lò</t>
  </si>
  <si>
    <t>1244/NA-GPHĐ</t>
  </si>
  <si>
    <t>PHÒNG KHÁM BỆNH RĂNG-HÀM-MẶT VĂN NGHĨA</t>
  </si>
  <si>
    <t>Nguyễn Văn Nghĩa</t>
  </si>
  <si>
    <t>Xóm Thanh Đầm- Xã Hùng Tiến- Nam Đàn</t>
  </si>
  <si>
    <t>1246/NA-GPHĐ</t>
  </si>
  <si>
    <t>PHÒNG KHÁM BỆNH RĂNG-HÀM-MẶT THÀNH TUYẾT</t>
  </si>
  <si>
    <t>Thái Văn Thành</t>
  </si>
  <si>
    <t>Khối 4- TT Tân Kỳ- H. Tân Kỳ</t>
  </si>
  <si>
    <t>1247/NA-GPHĐ</t>
  </si>
  <si>
    <t>PHÒNG KHÁM BỆNH NỘI KHOA LỢI TUYẾT</t>
  </si>
  <si>
    <t>Trương Văn Lợi</t>
  </si>
  <si>
    <t>Xóm Liên Tân- xã Thọ Hợp- Quỳ Hợp</t>
  </si>
  <si>
    <t>1248/NA-GPHĐ</t>
  </si>
  <si>
    <t>PHÒNG KHÁM BỆNH SẢN PHỤ KHOA MAI ANH</t>
  </si>
  <si>
    <t>Trương Thị Thuyết</t>
  </si>
  <si>
    <t>1249/NA-GPHĐ</t>
  </si>
  <si>
    <t>PHÒNG KHÁM BỆNH NỘI KHOA NGHĨA HUYỀN</t>
  </si>
  <si>
    <t>Nguyễn Xuân Nghĩa</t>
  </si>
  <si>
    <t>Số 39-  Đ. Hồng Liên- xã Nghi Liên- TP.Vinh</t>
  </si>
  <si>
    <t>1251/NA-GPHĐ</t>
  </si>
  <si>
    <t xml:space="preserve">PHÒNG KHÁM BỆNH CHUYÊN KHOA Y HỌC CỔ TRUYỀN </t>
  </si>
  <si>
    <t>Số 19-  Đ. Hải Thượng Lãn Ông- TP.Vinh</t>
  </si>
  <si>
    <t>1252/NA-GPHĐ</t>
  </si>
  <si>
    <t>PHÒNG KHÁM BỆNH RĂNG-HÀM-MẶT DR 8T</t>
  </si>
  <si>
    <t>Phan Huy Tú</t>
  </si>
  <si>
    <t>Kiot 1/Số 8-  Đ. Võ Thúc Đồng- TP.Vinh</t>
  </si>
  <si>
    <t>1253/NA-GPHĐ</t>
  </si>
  <si>
    <t>PHÒNG KHÁM BỆNH SẢN PHỤ KHOA THÀNH XUYÊN</t>
  </si>
  <si>
    <t>Nguyễn Thị Xuyên</t>
  </si>
  <si>
    <t>Khối Lam Sơn- P. Long Sơn- Tx Thái Hòa</t>
  </si>
  <si>
    <t>1254/NA-GPHĐ</t>
  </si>
  <si>
    <t>PHÒNG KHÁM BỆNH TAI MŨI HỌNG BÁC SỸ CHIẾN</t>
  </si>
  <si>
    <t>Tôn Thanh Chiến</t>
  </si>
  <si>
    <t>Khối 1- T.trấn Yên Thành- Yên Thành</t>
  </si>
  <si>
    <t>1255/NA-GPHĐ</t>
  </si>
  <si>
    <t xml:space="preserve">PHÒNG KHÁM BỆNH RĂNG-HÀM-MẶT RUBI </t>
  </si>
  <si>
    <t>Bùi Hòa Tĩnh</t>
  </si>
  <si>
    <t>Số 53- Đ. Hồ Tùng Mậu- TP.Vinh</t>
  </si>
  <si>
    <t>1219/NA-GPHĐ</t>
  </si>
  <si>
    <t>PHÒNG KHÁM CHUYÊN KHOA THẨM MỸ DR. LÊ TIẾN</t>
  </si>
  <si>
    <t>Lê Trọng Tiến</t>
  </si>
  <si>
    <t>Số 08A/Liền kề Vinaconex 9-  Đại lộ Lê-nin- xã Nghi Phú- TP.Vinh</t>
  </si>
  <si>
    <t>1256/NA-GPHĐ</t>
  </si>
  <si>
    <t>Nguyễn Thị Hoàng Yến</t>
  </si>
  <si>
    <t>Số 171-  Đ. Phùng Chí Kiên- TP.Vinh</t>
  </si>
  <si>
    <t>1257/NA-GPHĐ</t>
  </si>
  <si>
    <t xml:space="preserve">DỊCH VỤ TIÊM CHÍCH, THAY BĂNG HMP CENTER </t>
  </si>
  <si>
    <t>Nguyễn Thành Danh</t>
  </si>
  <si>
    <t>Số 07- Đ. Hồ Tùng Mậu- TP. Vinh</t>
  </si>
  <si>
    <t>1258/NA-GPHĐ</t>
  </si>
  <si>
    <t>PHÒNG KHÁM BỆNH TAI MŨI HỌNG BÁC SỸ QUÂN</t>
  </si>
  <si>
    <t>Nguyễn Đức Quân</t>
  </si>
  <si>
    <t>Số 165- Đ. Đặng Thai Mai- TP. Vinh</t>
  </si>
  <si>
    <t>1259/NA-GPHĐ</t>
  </si>
  <si>
    <t>PHÒNG KHÁM BỆNH NGOẠI KHOA MEDCLINIC</t>
  </si>
  <si>
    <t>Bùi Danh Ánh</t>
  </si>
  <si>
    <t>1260/NA-GPHĐ</t>
  </si>
  <si>
    <t>PHÒNG KHÁM BỆNH NỘI KHOA QUANG THỊNH</t>
  </si>
  <si>
    <t>Hoàng Đình Lâm</t>
  </si>
  <si>
    <t>Xóm Quang Long- Xã Quang Thành- Yên Thành</t>
  </si>
  <si>
    <t>1261/NA-GPHĐ</t>
  </si>
  <si>
    <t>Ngô Trí Vũ</t>
  </si>
  <si>
    <t>Thôn Hồng Long- Xã Quỳnh Hồng- Quỳnh Lưu</t>
  </si>
  <si>
    <t>1012/NA-GPHĐ</t>
  </si>
  <si>
    <t>PHÒNG CHẨN ĐOÁN SIÊU ÂM BS HOÀNG MINH CHÂU</t>
  </si>
  <si>
    <t>Hoàng Văn Châu</t>
  </si>
  <si>
    <t>Tầng 2/Nhà số 93- Đ. Nguyễn Duy Trinh- TP.Vinh</t>
  </si>
  <si>
    <t>0045/NA-GPHĐ</t>
  </si>
  <si>
    <t>PHÒNG CHẨN ĐOÁN X QUANG BS LÊ VŨ QUANG</t>
  </si>
  <si>
    <t>Lê Vũ Quang</t>
  </si>
  <si>
    <t>Tầng 1/Nhà số 93- Đ. Nguyễn Duy Trinh- TP.Vinh</t>
  </si>
  <si>
    <t>1262/NA-GPHĐ</t>
  </si>
  <si>
    <t>PHÒNG KHÁM BỆNH NỘI KHOA TÂN AN</t>
  </si>
  <si>
    <t>Thái Thị Hạnh</t>
  </si>
  <si>
    <t>Xóm Yên Xuân- Xã Diễn Phúc- Diễn Châu</t>
  </si>
  <si>
    <t>1263/NA-GPHĐ</t>
  </si>
  <si>
    <t>PHÒNG CHẨN TRỊ Y HỌC CỔ TRUYỀN CAO VĂN VIẾT</t>
  </si>
  <si>
    <t>Cao Văn Viết</t>
  </si>
  <si>
    <t>Xóm Khoa Đà- Xã Hưng Tây- Hưng Nguyên</t>
  </si>
  <si>
    <t>1264/NA-GPHĐ</t>
  </si>
  <si>
    <t>PHÒNG KHÁM BỆNH RĂNG-HÀM-MẶT 37</t>
  </si>
  <si>
    <t>Nguyễn Anh Bắc</t>
  </si>
  <si>
    <t>Số 99- Đ. Nguyễn Phong Sắc- TP.Vinh</t>
  </si>
  <si>
    <t>1176/NA-GPHĐ</t>
  </si>
  <si>
    <t xml:space="preserve">PHÒNG KHÁM BỆNH SẢN PHỤ KHOA - </t>
  </si>
  <si>
    <t>Hồ Thị Khánh Linh</t>
  </si>
  <si>
    <t>PHÒNG KHÁM BỆNH RĂNG-HÀM-MẶT VALIS LUXURY</t>
  </si>
  <si>
    <t>Lâm Văn Việt</t>
  </si>
  <si>
    <t>Số 29- Đ. Hồ Tùng Mậu- TP.Vinh</t>
  </si>
  <si>
    <t>1267/NA-GPHĐ</t>
  </si>
  <si>
    <t>PHÒNG KHÁM BỆNH RĂNG-HÀM-MẶT VIỆT NGA</t>
  </si>
  <si>
    <t>Nguyễn Thị Hoài Phương</t>
  </si>
  <si>
    <t>Xóm Phú Đình- Xã Yên Sơn- Đô Lương</t>
  </si>
  <si>
    <t>1268/NA-GPHĐ</t>
  </si>
  <si>
    <t>PHÒNG KHÁM BỆNH SẢN PHỤ KHOA BÁC SỸ HỒNG</t>
  </si>
  <si>
    <t>Trần Văn Hồng</t>
  </si>
  <si>
    <t>Khối 7- TT Hưng Nguyên- H. Hưng Nguyên</t>
  </si>
  <si>
    <t>1269/NA-GPHĐ</t>
  </si>
  <si>
    <t>PHÒNG KHÁM BỆNH NGOẠI CHẤN THƯƠNG BÁC SỸ AN</t>
  </si>
  <si>
    <t>Hồ Xuân An</t>
  </si>
  <si>
    <t>Khối Yên Trung- P.Quỳnh Dị- Tx.Hoàng Mai</t>
  </si>
  <si>
    <t>1270/NA-GPHĐ</t>
  </si>
  <si>
    <t xml:space="preserve">PHÒNG CHẨN ĐOÁN HÌNH ẢNH TƯ NHÂN </t>
  </si>
  <si>
    <t>Võ Ngọc Quang</t>
  </si>
  <si>
    <t>0180/NA-GPHĐ</t>
  </si>
  <si>
    <t>PHÒNG KHÁM BỆNH NHI KHOA BS HUYỀN TÂY BẮC</t>
  </si>
  <si>
    <t>Võ Thị Huyền</t>
  </si>
  <si>
    <t>Khối Tân Hồng- TT Nghĩa Đàn- H. Nghĩa Đàn</t>
  </si>
  <si>
    <t>1273/NA-GPHĐ</t>
  </si>
  <si>
    <t>PHÒNG KHÁM BỆNH NỘI KHOA VÂN QUYẾT</t>
  </si>
  <si>
    <t>Lô Thị Vân</t>
  </si>
  <si>
    <t>Xóm Yên Lâm- Xã Nghĩa Lâm- H. Nghĩa Đàn</t>
  </si>
  <si>
    <t>1274/NA-GPHĐ</t>
  </si>
  <si>
    <t>PHÒNG KHÁM BỆNH NỘI KHOA BÁC SỸ NGÔ THANH HƯNG</t>
  </si>
  <si>
    <t>Ngô Thanh Hưng</t>
  </si>
  <si>
    <t>Xóm Yên Xuân- xã Diễn Phúc- Diễn Châu</t>
  </si>
  <si>
    <t>0197/NA-GPHĐ</t>
  </si>
  <si>
    <t>Nguyễn Viết Lương</t>
  </si>
  <si>
    <t>0182/NA-GPHĐ</t>
  </si>
  <si>
    <t>PHÒNG KHÁM BỆNH SẢN PHỤ KHOA LÂM THỦY</t>
  </si>
  <si>
    <t>Hồ Thị Thu Hương</t>
  </si>
  <si>
    <t>Tầng 4, Nhà số 01/Ngõ 95- Đ.Nguyễn Duy Trinh-</t>
  </si>
  <si>
    <t>1277/NA-GPHĐ</t>
  </si>
  <si>
    <t>DỊCH VỤ CHĂM SÓC SỨC KHỎE TẠI NHÀ DŨNG LIÊN</t>
  </si>
  <si>
    <t>Trần Văn Cừ</t>
  </si>
  <si>
    <t>Khối Quang Vinh, P. Quang Tiến, Tx Thái Hòa</t>
  </si>
  <si>
    <t>1278/NA-GPHĐ</t>
  </si>
  <si>
    <t>PHÒNG KHÁM BỆNH NỘI KHOA BS TUYẾT</t>
  </si>
  <si>
    <t>Nguyễn Thị Dương Tuyết</t>
  </si>
  <si>
    <t>Khối 4- Thị trấn Quán Hành- Nghi Lộc</t>
  </si>
  <si>
    <t>1279/NA-GPHĐ</t>
  </si>
  <si>
    <t>PHÒNG KHÁM BỆNH NỘI KHOA NAM VÂN</t>
  </si>
  <si>
    <t>Đoàn Văn Hoài Nam</t>
  </si>
  <si>
    <t>Xóm Yên Phú- Xã Nghĩa Lâm- Nghĩa Đàn</t>
  </si>
  <si>
    <t>1280/NA-GPHĐ</t>
  </si>
  <si>
    <t>Trần Văn Nam</t>
  </si>
  <si>
    <t>Thôn Hồng Long-Xã Quỳnh Hồng-Quỳnh Lưu</t>
  </si>
  <si>
    <t>1281/NA-GPHĐ</t>
  </si>
  <si>
    <t>PHÒNG KHÁM BỆNH TAI-MŨI-HỌNG BS GIANG</t>
  </si>
  <si>
    <t>Bùi Thị Hồng Giang</t>
  </si>
  <si>
    <t>Số 74- Đ. Trà Lân- TP.vinh</t>
  </si>
  <si>
    <t>0170/NA-GPHĐ</t>
  </si>
  <si>
    <t>PHÒNG KHÁM BỆNH KÝ SINH TRÙNG BÁC SỸ LAM</t>
  </si>
  <si>
    <t xml:space="preserve">PHÒNG KHÁM BỆNH NỘI KHOA TỔNG HỢP </t>
  </si>
  <si>
    <t>Nguyễn Thế Năm</t>
  </si>
  <si>
    <t>Số 10- Đ. Trường Thi- TP.Vinh</t>
  </si>
  <si>
    <t>1283/NA-GPHĐ</t>
  </si>
  <si>
    <t>PHÒNG KHÁM BỆNH RĂNG-HÀM-MẶT PARKWAY</t>
  </si>
  <si>
    <t>Trần Thị Thảo</t>
  </si>
  <si>
    <t>Số 131- Đ. Nguyễn Văn Cừ- TP. Vinh</t>
  </si>
  <si>
    <t>1285/NA-GPHĐ</t>
  </si>
  <si>
    <t>PHÒNG KHÁM BỆNH RĂNG-HÀM-MẶT ĐỨC GIANG</t>
  </si>
  <si>
    <t>Vi Thị Xuân</t>
  </si>
  <si>
    <t>1286/NA-GPHĐ</t>
  </si>
  <si>
    <t>PHÒNG KHÁM BỆNH RĂNG-HÀM-MẶT MELATEC</t>
  </si>
  <si>
    <t>Trần Đình Ngũ</t>
  </si>
  <si>
    <t>Số 128- Đ. Nguyễn Sỹ Sách- TP. Vinh</t>
  </si>
  <si>
    <t>1287/NA-GPHĐ</t>
  </si>
  <si>
    <t>PHÒNG CHẨN ĐOÁN X QUANG BS TRẦN ĐÌNH HẢI</t>
  </si>
  <si>
    <t>Trần Đình Hải</t>
  </si>
  <si>
    <t>Số 02/ Ngõ 41- Đ. Ngô Quảng- P.Hưng Dũng- TP.Vinh</t>
  </si>
  <si>
    <t>1288/NA-GPHĐ</t>
  </si>
  <si>
    <t>DỊCH VỤ TIÊM CHÍCH, THAY BĂNG PHƯƠNG HIỀN</t>
  </si>
  <si>
    <t>Cao Thị Phương</t>
  </si>
  <si>
    <t>Khối Tân Cương- TT Nghĩa Đàn- H. Nghĩa Đàn</t>
  </si>
  <si>
    <t>1289/NA-GPHĐ</t>
  </si>
  <si>
    <t>PHÒNG KHÁM BỆNH TAI-MŨI-HỌNG BS PHÚC SƠN</t>
  </si>
  <si>
    <t>Nguyễn Thị Thảo</t>
  </si>
  <si>
    <t>Xóm 3- xã Diễn Thành- Diễn Châu</t>
  </si>
  <si>
    <t>1290/NA-GPHĐ</t>
  </si>
  <si>
    <t>PHÒNG KHÁM BỆNH NỘI KHOA KOKASI NGHỆ AN</t>
  </si>
  <si>
    <t>Bùi Thị Phương</t>
  </si>
  <si>
    <t>Số D0-16-Goldencity 3- Đ. Lenin- xã Nghi Phú- TP.Vinh</t>
  </si>
  <si>
    <t>1291/NA-GPHĐ</t>
  </si>
  <si>
    <t>PHÒNG KHÁM BỆNH TAI-MŨI-HỌNG THANH LƯƠNG</t>
  </si>
  <si>
    <t>Số 6- Đ. Trần Bình Trọng- TP.Vinh</t>
  </si>
  <si>
    <t>1207/NA-GPHĐ</t>
  </si>
  <si>
    <t xml:space="preserve">PHÒNG KHÁM BỆNH CHUYÊN KHOA MẮT </t>
  </si>
  <si>
    <t>Phan Đình Toàn</t>
  </si>
  <si>
    <t>Tầng 2,Nhà số 81-Đ.Nguyễn Phong Sắc-TP.Vinh</t>
  </si>
  <si>
    <t>1292/NA-GPHĐ</t>
  </si>
  <si>
    <t>PHÒNG CHẨN TRỊ Y HỌC CỔ TRUYỀN PHƯƠNG THÀNH  QUỲ HỢP</t>
  </si>
  <si>
    <t>Nguyễn Thế Lực</t>
  </si>
  <si>
    <t>Khối 11- Thị trấn Quỳ Hợp- Huyện Quỳ Hợp</t>
  </si>
  <si>
    <t>1293/NA-GPHĐ</t>
  </si>
  <si>
    <t>PHÒNG  XÉT NGHIỆM MEDILAB ĐÔ LƯƠNG</t>
  </si>
  <si>
    <t>Nguyễn Thị Nhung</t>
  </si>
  <si>
    <t>Xóm 3- Xã Đà Sơn- Đô Lương</t>
  </si>
  <si>
    <t>1294/NA-GPHĐ</t>
  </si>
  <si>
    <t>PHÒNG CHẨN ĐOÁN SIÊU ÂM HƯNG ANH</t>
  </si>
  <si>
    <t>Nguyễn Văn Dũng</t>
  </si>
  <si>
    <t>Thôn Quyết Tiến- xã Quỳnh Liên- Tx Hoàng Mai</t>
  </si>
  <si>
    <t>1299/NA-GPHĐ</t>
  </si>
  <si>
    <t>PHÒNG KHÁM BỆNH TAI-MŨI-HỌNG 168 QUÁN HÀNH</t>
  </si>
  <si>
    <t>Đặng Văn Đoàn</t>
  </si>
  <si>
    <t>1295/NA-GPHĐ</t>
  </si>
  <si>
    <t xml:space="preserve">PHÒNG KHÁM BỆNH TAI MŨI HỌNG  THÀNH VINH </t>
  </si>
  <si>
    <t>Trịnh Thanh Hưng</t>
  </si>
  <si>
    <t>Nhà LK1/45- Đ. Lê Bá Tùng - TP. Vinh</t>
  </si>
  <si>
    <t>1297/NA-GPHĐ</t>
  </si>
  <si>
    <t xml:space="preserve">PHÒNG KHÁM BỆNH TAI MŨI HỌNG  BS ĐINH XUÂN HƯƠNG </t>
  </si>
  <si>
    <t>Đinh Xuân Hương</t>
  </si>
  <si>
    <t>Số 01- Đ. Nguyễn Công Nghiệm - TP. Vinh</t>
  </si>
  <si>
    <t>0062/NA-GPHĐ</t>
  </si>
  <si>
    <t>Phạm Doãn Ngọc</t>
  </si>
  <si>
    <t>Số 203- Đ. Phùng Chí Kiên- TP.Vinh</t>
  </si>
  <si>
    <t>0507/NA-GPHĐ</t>
  </si>
  <si>
    <t>PHÒNG KHÁM BỆNH RĂNG-HÀM-MẶT NHÂN HÒA</t>
  </si>
  <si>
    <t>Lê Khánh Hòa</t>
  </si>
  <si>
    <t>Số 149- Đ. Đặng Thái Thân- TP.Vinh</t>
  </si>
  <si>
    <t>0296/NA-GPHĐ</t>
  </si>
  <si>
    <t>PHÒNG CHẨN ĐOÁN SIÊU ÂM DŨNG DIỆU</t>
  </si>
  <si>
    <t>PHÒNG KHÁM BỆNH RĂNG-HÀM-MẶT BÁC SỸ ĐỨC</t>
  </si>
  <si>
    <t>Lê Văn Đức</t>
  </si>
  <si>
    <t>Xóm 5- Xã Quang Sơn- Đô Lương</t>
  </si>
  <si>
    <t>1300/NA-GPHĐ</t>
  </si>
  <si>
    <t>PHÒNG KHÁM BỆNH NHI KHOA HIỀN YẾN</t>
  </si>
  <si>
    <t>Vi Văn Hiền</t>
  </si>
  <si>
    <t>Số 57,Đ. Lý Nhật Quang, K.3,TT Tân Kỳ,H.Tân Kỳ</t>
  </si>
  <si>
    <t>1301/NA-GPHĐ</t>
  </si>
  <si>
    <t>PHÒNG KHÁM BỆNH NGOẠI KHOA HÙNG HIỀN</t>
  </si>
  <si>
    <t>Số 05,ngõ 05, Đ. Xô viết Nghệ Tĩnh,K.3,TT Tân Kỳ,H.Tân Kỳ</t>
  </si>
  <si>
    <t>1302/NA-GPHĐ</t>
  </si>
  <si>
    <t>PHÒNG KHÁM BỆNH NHI KHOA TH CARE</t>
  </si>
  <si>
    <t>Phạm Thị Thu Hiền</t>
  </si>
  <si>
    <t>Tầng 3, Nhà số 172, Đ. Nguyễn Du, TP.Vinh</t>
  </si>
  <si>
    <t>1303/NA-GPHĐ</t>
  </si>
  <si>
    <t>PHÒNG KHÁM BỆNH SẢN PHỤ KHOA BAMBOO CARE</t>
  </si>
  <si>
    <t>Nguyễn Thị Phương Lâm</t>
  </si>
  <si>
    <t>Tầng 4, Nhà số 07, Đ. Phùng Chí Kiên, TP. Vinh</t>
  </si>
  <si>
    <t>1304/NA-GPHĐ</t>
  </si>
  <si>
    <t>PHÒNG KHÁM BỆNH RĂNG HÀM MẶT NEWSTAR</t>
  </si>
  <si>
    <t>Trương Hoàng Anh</t>
  </si>
  <si>
    <t>Tầng 1, Nhà số 43- Đ. Nguyễn Đức Cảnh- TP.Vinh</t>
  </si>
  <si>
    <t>1305/NA-GPHĐ</t>
  </si>
  <si>
    <t>PHÒNG KHÁM BỆNH NHI KHOA HƯNG BÌNH</t>
  </si>
  <si>
    <t>Ngô Thị Hà</t>
  </si>
  <si>
    <t>Tầng 1,Nhà số 07/BT05 Đ.Phạm Đình Toái- P.Vinh</t>
  </si>
  <si>
    <t>1306/NA-GPHĐ</t>
  </si>
  <si>
    <t>PHÒNG KHÁM BỆNH RĂNG HÀM MẶT BÙI QUANG HIỂN</t>
  </si>
  <si>
    <t>Bùi Quang Hiển</t>
  </si>
  <si>
    <t>Tầng 2, Nhà số 01- Đ. Nguyễn Tiềm- TP.Vinh</t>
  </si>
  <si>
    <t>0867/NA-GPHĐ</t>
  </si>
  <si>
    <t>PHÒNG KHÁM CHUYÊN KHOA RĂNG HÀM MẶT LONG ANH</t>
  </si>
  <si>
    <t>Lê Thị Nga</t>
  </si>
  <si>
    <t xml:space="preserve">Xóm Tân Mỹ, Xã Tam Hợp, Quỳ Hợp, </t>
  </si>
  <si>
    <t>1310/NA-GPHĐ</t>
  </si>
  <si>
    <t>PHÒNG KHÁM CHUYÊN KHOA NỘI BÁC SĨ HUYỀN</t>
  </si>
  <si>
    <t>Nguyễn Thị Thanh Huyền</t>
  </si>
  <si>
    <t>Số 70, Đ. Lê Văn Miến, K. Điện Biên, P. Nghi Hương, Tx Cửa Lò</t>
  </si>
  <si>
    <t>1311/NA-GPHĐ</t>
  </si>
  <si>
    <t>PHÒNG KHÁM CHUYÊN KHOA NỘI TRẦN VĂN PHÚC</t>
  </si>
  <si>
    <t>Trần Văn Phúc</t>
  </si>
  <si>
    <t>Xóm 7, Xã Hưng Tân, Hưng Nguyên</t>
  </si>
  <si>
    <t>1312/NA-GPHĐ</t>
  </si>
  <si>
    <t>PHÒNG KHÁM CHUYÊN KHOA NHI SUNNY</t>
  </si>
  <si>
    <t>Tạ Thị Quỳnh Anh</t>
  </si>
  <si>
    <t>Số 129, Đ. Trường Chinh, TP.Vinh</t>
  </si>
  <si>
    <t>1313/NA-GPHĐ</t>
  </si>
  <si>
    <t>PHÒNG KHÁM CHUYÊN KHOA TAI MŨI HỌNG TRẺ EM</t>
  </si>
  <si>
    <t>Nguyễn Thị Huyền Ngân</t>
  </si>
  <si>
    <t>Số 246, Đ. Trường Chinh, TP.Vinh</t>
  </si>
  <si>
    <t>1314/NA-GPHĐ</t>
  </si>
  <si>
    <t>PHÒNG KHÁM CHUYÊN KHOA RĂNG HÀM MẶT ĐỨC AN</t>
  </si>
  <si>
    <t>Nguyễn Văn Giáp</t>
  </si>
  <si>
    <t>Số 9A1, Đ. Hồ Tùng Mậu, TP.Vinh</t>
  </si>
  <si>
    <t>1315/NA-GPHĐ</t>
  </si>
  <si>
    <t>PHÒNG KHÁM CHUYÊN KHOA RĂNG HÀM MẶT TÂM AN</t>
  </si>
  <si>
    <t>Nguyễn Đình Thọ</t>
  </si>
  <si>
    <t>Xóm Hải Trung,  Xã Diễn Bích,  Diễn Châu</t>
  </si>
  <si>
    <t>1316/NA-GPHĐ</t>
  </si>
  <si>
    <t>PHÒNG KHÁM CHUYÊN KHOA NHI BÁC SỸ LÊ</t>
  </si>
  <si>
    <t>Nguyễn Thị Lê</t>
  </si>
  <si>
    <t>Thôn 9, Xã Quỳnh Thạch, Quỳnh Lưu</t>
  </si>
  <si>
    <t>1317/NA-GPHĐ</t>
  </si>
  <si>
    <t>PHÒNG KHÁM CHUYÊN KHOA SẢN PHỤ SƠN THÀNH</t>
  </si>
  <si>
    <t>Vừ Y Xừ</t>
  </si>
  <si>
    <t>Bản Sơn Thành, Xã Tà Cạ, Kỳ Sơn</t>
  </si>
  <si>
    <t>1318/NA-GPHĐ</t>
  </si>
  <si>
    <t>Cao Bá Lễ</t>
  </si>
  <si>
    <t>Xã Diễn Thành- Diễn Châu</t>
  </si>
  <si>
    <t>0050/NA-GPHĐ</t>
  </si>
  <si>
    <t>PHÒNG KHÁM CHUYÊN KHOA NGOẠI KHOA MEDIC 85</t>
  </si>
  <si>
    <t>Trần Văn Biên</t>
  </si>
  <si>
    <t>Khối 2, Quán Bàu, TP. Vinh</t>
  </si>
  <si>
    <t>1325/NA-GPHĐ</t>
  </si>
  <si>
    <t xml:space="preserve">PHÒNG KHÁM CHUYÊN KHOA NHI 16/64 </t>
  </si>
  <si>
    <t>Trần Văn Cương</t>
  </si>
  <si>
    <t xml:space="preserve">Số 16, ngõ 64, Nguyễn Sỹ Sách, TP. Vinh </t>
  </si>
  <si>
    <t>1321/NA-GPHĐ</t>
  </si>
  <si>
    <t>PHÒNG KHÁM CHUYÊN KHOA YHCT HƯNG THẮNG</t>
  </si>
  <si>
    <t>Nguyễn Viết Thắng</t>
  </si>
  <si>
    <t>Khối 6A, TT. Thanh Chương</t>
  </si>
  <si>
    <t>1324/NA-GPHĐ</t>
  </si>
  <si>
    <t>PHÒNG KHÁM CHUYÊN KHOA YHCT TĨNH SÁNG ĐƯỜNG</t>
  </si>
  <si>
    <t>Khối 17, TT Qùy Hợp</t>
  </si>
  <si>
    <t>1323/NA-GPHĐ</t>
  </si>
  <si>
    <t>PHÒNG KHÁM CHUYÊN KHOA NỘI THÀNH XUYÊN THÁI HÒA</t>
  </si>
  <si>
    <t>Bùi Thị Nội</t>
  </si>
  <si>
    <t>Khối Lam Sơn - P. Lam Sơn - Tx Thái Hòa</t>
  </si>
  <si>
    <t>1322/NA-GPHĐ</t>
  </si>
  <si>
    <t>PHÒNG KHÁM CHUYÊN KHOA NỘI PHÚC HƯNG</t>
  </si>
  <si>
    <t>Nguyễn Thị Thu Cúc</t>
  </si>
  <si>
    <t>Số 88, Nguyễn Xí, TX. Cửa Lò</t>
  </si>
  <si>
    <t>1320/NA-GPHĐ</t>
  </si>
  <si>
    <t>PHÒNG KHÁM CHUYÊN KHOA RĂNG HÀM MẶT TÂM ĐỨC</t>
  </si>
  <si>
    <t>Handico 30, Quang Trung, TP. Vinh</t>
  </si>
  <si>
    <t>156-158 Trần Hưng Đạo, TP. Vinh</t>
  </si>
  <si>
    <t>PHÒNG KHÁM  CHUYÊN KHOA PHỤ SẢN QUÁN HÀNH</t>
  </si>
  <si>
    <t>Lê Kế Tú</t>
  </si>
  <si>
    <t>Khối 4, Thị trấn Quán Hành, Nghi Lộc</t>
  </si>
  <si>
    <t>1330/NA-GPHĐ</t>
  </si>
  <si>
    <t>PHÒNG KHÁM  CHUYÊN KHOA TAI MŨI HỌNG BS LONG</t>
  </si>
  <si>
    <t>Nguyễn Kim Long</t>
  </si>
  <si>
    <t>Xóm 3, Xã Nam Anh, Nam Đàn</t>
  </si>
  <si>
    <t>1331/NA-GPHĐ</t>
  </si>
  <si>
    <t>PHÒNG KHÁM CHUYÊN KHOA NỘI BÁC SỸ HÀ LƯƠNG</t>
  </si>
  <si>
    <t>Hà Thị Lương</t>
  </si>
  <si>
    <t>Xóm Đồng Tròn, Xã Tiến Thành, Yên Thành</t>
  </si>
  <si>
    <t>1332/NA-GPHĐ</t>
  </si>
  <si>
    <t>PHÒNG KHÁM CHUYÊN KHOA NHI BÁC SĨ NGUYỄN HÙNG MẠNH</t>
  </si>
  <si>
    <t>Nguyễn Hùng Mạnh</t>
  </si>
  <si>
    <t>Số 267, Đ.Phùng Chí Kiên, TP.Vinh</t>
  </si>
  <si>
    <t>1333/NA-GPHĐ</t>
  </si>
  <si>
    <t xml:space="preserve">PHÒNG KHÁM  CHUYÊN KHOA TAI MŨI HỌNG </t>
  </si>
  <si>
    <t>Đậu Ngọc Triều</t>
  </si>
  <si>
    <t>Số 3-BT03, Đ. Trương Vân Lĩnh, Xã Nghi Phú, TP.Vinh</t>
  </si>
  <si>
    <t>1334/NA-GPHĐ</t>
  </si>
  <si>
    <t>PHÒNG KHÁM CHUYÊN KHOA NỘI PHÚC HIỀN</t>
  </si>
  <si>
    <t>Xóm Nhân Bồi, Xã Bồi Sơn, Đô Lương</t>
  </si>
  <si>
    <t>1335/NA-GPHĐ</t>
  </si>
  <si>
    <t>PHÒNG KHÁM CHUYÊN KHOA RĂNG-HÀM-MẶT ĐỨC GIANG</t>
  </si>
  <si>
    <t>Đinh Văn Đức</t>
  </si>
  <si>
    <t>Số 51, Đ. Đội Cung, TP.Vinh</t>
  </si>
  <si>
    <t>1336/NA-GPHĐ</t>
  </si>
  <si>
    <t>PHÒNG CHẨN ĐOÁN X QUANG KIÊN CƯỜNG</t>
  </si>
  <si>
    <t>Phạm Kiên Cường</t>
  </si>
  <si>
    <t>Xóm 3, Xã Nghi Đức, TP.Vinh</t>
  </si>
  <si>
    <t>1337/NA-GPHĐ</t>
  </si>
  <si>
    <t xml:space="preserve">PHÒNG CHẨN ĐOÁN X QUANG </t>
  </si>
  <si>
    <t>Trần Ngọc Bình</t>
  </si>
  <si>
    <t>Số 17B, Đ. Bùi Huy Bích, Xã Hưng Lộc, TP.Vinh</t>
  </si>
  <si>
    <t>1339/NA-GPHĐ</t>
  </si>
  <si>
    <t>PHÒNG KHÁM CHUYÊN KHOA Y HỌC CỔ TRUYỀN BS TRANG</t>
  </si>
  <si>
    <t>Cao Thị Huyền Trang</t>
  </si>
  <si>
    <t>Số 21, Đ. Trịnh Hoài Đức, P. Lê Mao, TP. Vinh</t>
  </si>
  <si>
    <t>1341/NA-GPHĐ</t>
  </si>
  <si>
    <t>PHÒNG KHÁM CHUYÊN KHOA Y HỌC CỔ TRUYỀN ĐỒNG TÂM ĐƯỜNG</t>
  </si>
  <si>
    <t>Nguyễn Đình Thuận</t>
  </si>
  <si>
    <t>Khối 5, P. Nghi Hòa, Tx. Cửa Lò</t>
  </si>
  <si>
    <t>1346/NA-GPHĐ</t>
  </si>
  <si>
    <t xml:space="preserve">PHÒNG KHÁM CHUYÊN KHOA TAI MŨI HỌNG BS HÒA &amp; TRÀ </t>
  </si>
  <si>
    <t>Nguyễn Quang Hòa</t>
  </si>
  <si>
    <t>Số 500, Thôn Liên Tân, Xã Bồng Khê, Con Cuông</t>
  </si>
  <si>
    <t>1347/NA-GPHĐ</t>
  </si>
  <si>
    <t>PHÒNG KHÁM CHUYÊN KHOA NGOẠI TOÀN VŨ</t>
  </si>
  <si>
    <t>Nguyễn Hữu Xô</t>
  </si>
  <si>
    <t>Thôn Minh Tân, Xã Võ Liệt, Thanh Chương</t>
  </si>
  <si>
    <t>1348/NA-GPHĐ</t>
  </si>
  <si>
    <t>PHÒNG KHÁM CHUYÊN KHOA Y HỌC CỔ TRUYỀN MINH THỌ KHANG</t>
  </si>
  <si>
    <t>Chu Minh Thọ</t>
  </si>
  <si>
    <t>Xóm 2, Xã Diễn Thành, Diễn Châu</t>
  </si>
  <si>
    <t>1350/NA-GPHĐ</t>
  </si>
  <si>
    <t>PHÒNG KHÁM CHUYÊN KHOA Y HỌC CỔ TRUYỀN  TUỆ TÂM</t>
  </si>
  <si>
    <t>Nguyễn Thị Kim Dinh</t>
  </si>
  <si>
    <t>Số 23C, Đ. Nguyễn Phong Sắc, P. Hưng Dũng, TP. Vinh</t>
  </si>
  <si>
    <t>1351/NA-GPHĐ</t>
  </si>
  <si>
    <t>PHÒNG KHÁM CHUYÊN KHOA Y HỌC CỔ TRUYỀN TUỆ VŨ</t>
  </si>
  <si>
    <t>Hoàng Nghĩa Công</t>
  </si>
  <si>
    <t>Số 2A, Ngách 1, Ngõ 146C, Đ. Nguyễn Sỹ Sách, P. Hưng Phúc, TP. Vinh</t>
  </si>
  <si>
    <t>1352/NA-GPHĐ</t>
  </si>
  <si>
    <t>PHÒNG KHÁM CHUYÊN KHOA Y HỌC CỔ TRUYỀN PHƯƠNG ĐÔNG NDP3</t>
  </si>
  <si>
    <t>Nguyễn Sinh Nghị</t>
  </si>
  <si>
    <t>Tầng 1-2, Nhà số 09, Ngõ 54, Đ. Lý Thường Kiệt, P. Lê Lợi, TP. Vinh</t>
  </si>
  <si>
    <t>1353/NA-GPHĐ</t>
  </si>
  <si>
    <t xml:space="preserve">PHÒNG KHÁM CHUYÊN KHOA RĂNG-HÀM-MẶT GOLD   </t>
  </si>
  <si>
    <t>Trần Thị Thu Thơm</t>
  </si>
  <si>
    <t>Số 10 liền kề Hadico 30, Đ. Lê Hồng Phong, P. Quang Trung, TP.Vinh</t>
  </si>
  <si>
    <t>1354/NA-GPHĐ</t>
  </si>
  <si>
    <t>PHÒNG  XÉT NGHIỆM GLINK NGHỆ AN</t>
  </si>
  <si>
    <t>Hoàng Thị Tâm</t>
  </si>
  <si>
    <t>Tầng 2,Số 5A, Ngõ 112, Đ. Lê Ninh, TP.Vinh</t>
  </si>
  <si>
    <t>1355/NA-GPHĐ</t>
  </si>
  <si>
    <t>PHÒNG KHÁM CHUYÊN KHOA Y HỌC CỔ TRUYỀN  ĐỨC KHÔI ĐƯỜNG</t>
  </si>
  <si>
    <t>Hồ Thị Bảo Yến</t>
  </si>
  <si>
    <t>Số 119, Đ. Hải Thượng Lãn Ông, P. Hà Huy Tập, TP. Vinh</t>
  </si>
  <si>
    <t>1356/NA-GPHĐ</t>
  </si>
  <si>
    <t>PHÒNG KHÁM CHUYÊN KHOA NỘI BÁC SỸ HÀ VĂN DŨNG</t>
  </si>
  <si>
    <t>Hà Văn Dũng</t>
  </si>
  <si>
    <t>Khối Hợp Thái, TT Quỳ Hợp, H. Quỳ Hợp</t>
  </si>
  <si>
    <t>1357/NA-GPHĐ</t>
  </si>
  <si>
    <t>PHÒNG KHÁM CHUYÊN KHOA TAI-MŨI-HỌNG QUANG TRUNG</t>
  </si>
  <si>
    <t>Phan Quang Trung</t>
  </si>
  <si>
    <t>Số 115, Đ. Lê Quý Đôn, Xã Hưng Lộc, TP.Vinh</t>
  </si>
  <si>
    <t>1359/NA-GPHĐ</t>
  </si>
  <si>
    <t xml:space="preserve">PHÒNG KHÁM CHUYÊN KHOA RĂNG-HÀM-MẶT PHÚC THỊNH  </t>
  </si>
  <si>
    <t>Tăng Thị Vân</t>
  </si>
  <si>
    <t>Xóm 1, Xã Diễn Xuân, Diễn Châu</t>
  </si>
  <si>
    <t>1361/NA-GPHĐ</t>
  </si>
  <si>
    <t xml:space="preserve">PHÒNG KHÁM CHUYÊN KHOA PHỤ SẢN VẠN PHÚC 2 </t>
  </si>
  <si>
    <t>Trần Xuân Cảnh</t>
  </si>
  <si>
    <t>Tầng 1, Số 06, Đ. Phan Bội Châu, P. Lê Lợi, TP. Vinh</t>
  </si>
  <si>
    <t>1362/NA-GPHĐ</t>
  </si>
  <si>
    <t>PHÒNG KHÁM CHUYÊN KHOA NHI VẠN PHÚC</t>
  </si>
  <si>
    <t>Bùi Thị Hương</t>
  </si>
  <si>
    <t>Tầng 2, Số 06, Đ. Phan Bội Châu, P. Lê Lợi, TP. Vinh</t>
  </si>
  <si>
    <t>1363/NA-GPHĐ</t>
  </si>
  <si>
    <t>PHÒNG KHÁM CHUYÊN KHOA NỘI TÂM TRÍ ĐỨC</t>
  </si>
  <si>
    <t>Lê Quang Nhật</t>
  </si>
  <si>
    <t>Xóm 15, xã Nghi Phú, TP. Vinh, Nghệ An</t>
  </si>
  <si>
    <t>1358/NA-GPHĐ</t>
  </si>
  <si>
    <t>PHÒNG KHÁM RĂNG HÀM MẶT TRUNG CHI</t>
  </si>
  <si>
    <t>Ngô Đức Quang</t>
  </si>
  <si>
    <t>Xóm Thượng Thọ, xã Nghi Hoa, huyện Nghi Lộc, Nghệ An</t>
  </si>
  <si>
    <t>1366/NA-GPHĐ</t>
  </si>
  <si>
    <t>PHÒNG KHÁM CHUYÊN KHOA MẮT SÀI GÒN ĐÔ LƯƠNG TRỰC THUỘC CÔNG TY CP BV MẮT SÀI GÒN VINH</t>
  </si>
  <si>
    <t>Nguyễn Thị Vân</t>
  </si>
  <si>
    <t>Khối 9, thị trấn Đô Lương, huyện Đô Lương Nghệ An</t>
  </si>
  <si>
    <t>1368/NA-GPHĐ</t>
  </si>
  <si>
    <t>PHÒNG KHÁM CHUYÊN KHOA NHI TRÍ ĐỨC</t>
  </si>
  <si>
    <t>Đồng Thị Hằng</t>
  </si>
  <si>
    <t>Số 111B, đường Phạm Đình Toái, TP. Vinh, tỉnh Nghệ An</t>
  </si>
  <si>
    <t>PHÒNG KHÁM CHUYÊN KHOA NHI BÁC SỸ NGUYỆT</t>
  </si>
  <si>
    <t>Vương Thị Minh Nguyệt</t>
  </si>
  <si>
    <t>Số 42B, đường Hoàng Trọng Trì, xã Hưng Lộc, TP. Vinh, Nghệ An</t>
  </si>
  <si>
    <t>PHÒNG KHÁM CHUYÊN KHOA DA LIỄU TRỰC THUỘC CÔNG TY CP THẨM MỸ OHIO</t>
  </si>
  <si>
    <t>Nguyễn Thị Thanh Hoà</t>
  </si>
  <si>
    <t>Số 108 Trần Phú, phường Hồng Sơn, TP. Vinh, Nghệ An</t>
  </si>
  <si>
    <t>PHÒNG KHÁM CHUYÊN KHOA YHCT TIẾN PHÁT</t>
  </si>
  <si>
    <t>Số 54 An Dương Vương, TP. Vinh, Nghệ An</t>
  </si>
  <si>
    <t>PHÒNG KHÁM SẢN PHỤ KHOA VIETCARE</t>
  </si>
  <si>
    <t>Nguyễn Thị Dung</t>
  </si>
  <si>
    <t>Số 22 Nguyễn Sỹ Sách, phường Hưng Bình, TP. Vinh, Nghệ An</t>
  </si>
  <si>
    <t xml:space="preserve">PHÒNG KHÁM CHUYÊN KHOA PHẪU THUẬT TẠO HÌNH THẨM MỸ OSHUN </t>
  </si>
  <si>
    <t>Đậu Huy Hoàn</t>
  </si>
  <si>
    <t>Số 21 Phan Đình Phùng, TP. Vinh, tỉnh Nghệ An</t>
  </si>
  <si>
    <t>PHÒNG KHÁM CHUYÊN KHOA TẠO HÌNH THẨM MỸ MAILISA 3</t>
  </si>
  <si>
    <t>Nguyễn Ngọc Xuyến</t>
  </si>
  <si>
    <t>Tầng 5, 132 Nguyễn Văn Cừ, TP Vinh Nghệ An</t>
  </si>
  <si>
    <t>PHÒNG KHÁM CHUYÊN KHOA MẮT BÁC SỸ THUỶ</t>
  </si>
  <si>
    <t>Lê Thị Thanh Thuỷ</t>
  </si>
  <si>
    <t>Quốc lộ 46, khối Nam Bắc Sơn, thị trấn Nam Đàn, huyện Nam Đàn, Nghệ An</t>
  </si>
  <si>
    <t>1375/NA-GPHĐ</t>
  </si>
  <si>
    <t>PHÒNG KHÁM CHUYÊN KHOA NỘI AN TRUNG ĐẠI Y THUỘC CÔNG TY TNHH AN TRUNG ĐẠI Y</t>
  </si>
  <si>
    <t>Nguyễn Đông Phi</t>
  </si>
  <si>
    <t>Xoam An Trung, xã Nghĩa An, huyện Nghĩa Đàn, tỉnh Nghệ An</t>
  </si>
  <si>
    <t>1378/NA-GPHĐ</t>
  </si>
  <si>
    <t>PHÒNG KHÁM CHUYÊN KHOA PHỤ SẢN - THS HOÀNH - ANHKA.EMRI</t>
  </si>
  <si>
    <t>Lê Văn Hoành</t>
  </si>
  <si>
    <t>77B, đường Tôn Thất Tùng. thàmh phố Vinh, Nghệ An</t>
  </si>
  <si>
    <t>1376/NA-GPHĐ</t>
  </si>
  <si>
    <t>PHÒNG KHÁM CHUYÊN KHOA NHI HỒNG BÀNG</t>
  </si>
  <si>
    <t>Nguyễn Thị Tâm</t>
  </si>
  <si>
    <t>Số 156 đường Hồng Bàng, phường Quang Trung, thành phố Vinh, Nghệ An</t>
  </si>
  <si>
    <t>1380/NA-GPHĐ</t>
  </si>
  <si>
    <t>PHÒNG KHÁM CHUYÊN KHOA RĂNG HÀM MẶT HOÀNG GIA</t>
  </si>
  <si>
    <t>Nguyễn Thị Phương</t>
  </si>
  <si>
    <t>Khối 3A, thị trấn Dùng, Thanh Chương, Nghệ An</t>
  </si>
  <si>
    <t>01391/NA-GPHĐ</t>
  </si>
  <si>
    <t>PHÒNG KHÁM CHUYÊN KHOA RĂNG HÀM MẶT TIẾN THẮNG</t>
  </si>
  <si>
    <t>Hoàng Thị Minh</t>
  </si>
  <si>
    <t>Khối 3, thị trấn Hoa Thành, Yên Thành, Nghệ An</t>
  </si>
  <si>
    <t>01392/NA-GPHĐ</t>
  </si>
  <si>
    <t>PHÒNG KHÁM Y HỌC CỔ TRUYỀN ĐẶNG GIA ĐƯỜNG</t>
  </si>
  <si>
    <t>Đặng Hồng Trương</t>
  </si>
  <si>
    <t>Xóm Mỹ Giang, xã Thịnh Mỹ, Hưng Nguyên, Nghệ An</t>
  </si>
  <si>
    <t>01393/NA-GPHĐ</t>
  </si>
  <si>
    <t>PHÒNG KHÁM CHUYÊN KHOA PHỤ SẢN VIỆT THANH</t>
  </si>
  <si>
    <t>Nguyễn Thị Bích Thảo</t>
  </si>
  <si>
    <t>Số 201, khối 5A, đường 1-9, thị trấn Dùng, Thanh Chương, Nghệ An</t>
  </si>
  <si>
    <t>01390/NA-GPHĐ</t>
  </si>
  <si>
    <t>PHÒNG KHÁM CHUYÊN KHOA TAI MŨI HỌNG BÁC SỸ CHIẾN</t>
  </si>
  <si>
    <t>Xóm Đội Cung, xã Trung Thành, Yên Thành, Nghệ An</t>
  </si>
  <si>
    <t>01389/NA-GPHĐ</t>
  </si>
  <si>
    <t>PHÒNG KHÁM CHUYÊN KHOA PHỤ SẢN BẢO NGÂN</t>
  </si>
  <si>
    <t>Ngô Thị Ngân</t>
  </si>
  <si>
    <t>Xóm 5, xã Tăng Thành, Yên Thành, Nghệ An</t>
  </si>
  <si>
    <t>01388/NA-GPHĐ</t>
  </si>
  <si>
    <t>PHÒNG KHÁM CHUYÊN KHOA TAI MŨI HỌNG THẾ ANH</t>
  </si>
  <si>
    <t>Võ Thé Anh</t>
  </si>
  <si>
    <t>Số 85, đường Đinh Lễ, phường Hưng Dũng, Vinh, Nghệ An</t>
  </si>
  <si>
    <t>01387/NA-GPHĐ</t>
  </si>
  <si>
    <t>PHÒNG KHÁM CHUYÊN KHOA NỘI LÂM ĐÔNG</t>
  </si>
  <si>
    <t>Đinh Thị Hạnh Lâm</t>
  </si>
  <si>
    <t>Số 8A, ngõ 189, đường Phong Định Cảng, phường Trường Thi, tp Vinh, Nghệ An</t>
  </si>
  <si>
    <t>01385/NA-GPHĐ</t>
  </si>
  <si>
    <t>PHÒNG KHÁM Y HỌC CỔ TRUYỀN ĐÔNG Á</t>
  </si>
  <si>
    <t>Nguyễn Thị Minh Hằng</t>
  </si>
  <si>
    <t>Số 81, đường 72m, phường Nghi Phú, Tp Vinh, Nghệ An</t>
  </si>
  <si>
    <t>01381/NA-GPHĐ</t>
  </si>
  <si>
    <t>PHÒNG KHÁM CHUYÊN KHOA NHI HẠNH PHÚC</t>
  </si>
  <si>
    <t>Cao Nguyên Trường</t>
  </si>
  <si>
    <t>Chợ Sen, khối Nam Bắc Sơn, thị trấn Nam Đàn, huyện Nam Đàn, Nghệ An</t>
  </si>
  <si>
    <t>01384/NA-GPHĐ</t>
  </si>
  <si>
    <t>PHÒNG KHÁM CHUYÊN KHOA RĂNG HÀM MẶT THẾ LINH</t>
  </si>
  <si>
    <t>Bùi Nguyên Hùng</t>
  </si>
  <si>
    <t>Số 14, đường Nguyễn Huy Oánh, khối 8, phường Trường Thi, Tp Vinh, Nghệ An</t>
  </si>
  <si>
    <t>01383/NA-GPHĐ</t>
  </si>
  <si>
    <t>PHÒNG KHÁM CHUYÊN KHOA MẮT PARIS</t>
  </si>
  <si>
    <t>Nguyễn Việt Dương</t>
  </si>
  <si>
    <t>Tầng 2, Kiot K63, K64, K65 chợ Hoàng Mai, thị xã Hoàng Mai, tỉnh Nghệ An</t>
  </si>
  <si>
    <t>01386/NA-GPHĐ</t>
  </si>
  <si>
    <t>PHÒNG KHÁM CHUYÊN KHOA RĂNG HÀM MẶT BÁC SỸ HIÊN</t>
  </si>
  <si>
    <t>Số 25, QL 46, xã Hưng Nguyên, Nghệ An</t>
  </si>
  <si>
    <t>01403/NA-GPHĐ</t>
  </si>
  <si>
    <t>Vính 1</t>
  </si>
  <si>
    <t>PHÒNG KHÁM CHUYÊN KHOA RĂNG HÀM MẶT SỸ QUÂN</t>
  </si>
  <si>
    <t>Nguyễn Sỹ Quân</t>
  </si>
  <si>
    <t>Số B305, đường Dương Vân Nga, phường Trường Vinh, Nghệ An</t>
  </si>
  <si>
    <t>01407/NA-GPHĐ</t>
  </si>
  <si>
    <t>PHÒNG KHÁM SẢN PHỤ KHOA NAM CHUNG</t>
  </si>
  <si>
    <t>Quế Thị Trâm Anh</t>
  </si>
  <si>
    <t>BT01, đường Phạm Đình Toái, phường Nghi Phú, Vinh, Nghệ An</t>
  </si>
  <si>
    <t>01399/NA-GPHĐ</t>
  </si>
  <si>
    <t>PHÒNG KHÁM CHUYÊN KHOA MẮT</t>
  </si>
  <si>
    <t>Số 59, đường Nguyễn Sỹ Sách, phường Vinh phú, Nghệ An</t>
  </si>
  <si>
    <t>01404/NA-GPHĐ</t>
  </si>
  <si>
    <t>PHÒNG KHÁM CHUYÊN KHOA RĂNG HÀM MẶT HUY CƯƠNG DENTAL</t>
  </si>
  <si>
    <t>Võ Huy Cương</t>
  </si>
  <si>
    <t>Số 12, đường Đặng Thái Thân, phường Thành Vinh, Nghệ An</t>
  </si>
  <si>
    <t>01402/NA-GPHĐ</t>
  </si>
  <si>
    <t>CƠ SỞ XÉT NGHIỆM Y KHOA TÂM AN THUỘC CHI NHÁNH CÔNG TY TNHH ĐẦU TƯ Y TẾ TÂM AN</t>
  </si>
  <si>
    <t>Nguyễn Ngọc Toản</t>
  </si>
  <si>
    <t>LK01,02,03 Dự án khu A Quang Trung, phương Thành Vinh, Nghệ An</t>
  </si>
  <si>
    <t>01398/NA-GPHĐ</t>
  </si>
  <si>
    <t>PHÒNG KHÁM CHUYÊN KHOA TAI MŨI HỌNG MINH LỘC</t>
  </si>
  <si>
    <t>Trần Minh Sơn</t>
  </si>
  <si>
    <t>Xóm  Lý Nhân, xã Yên Thành, Nghệ An</t>
  </si>
  <si>
    <t>01406/NA-GPHĐ</t>
  </si>
  <si>
    <t>PHÒNG KHÁM CHUYÊN KHOA THẨM MỸ TRẦN TRÀ THUỘC CÔNG TY TNHH THẨM MỸ VÀ KHAI THÁC THẨM MỸ TRẦN TRÀ</t>
  </si>
  <si>
    <t>Trần Văn Trà</t>
  </si>
  <si>
    <t>Số 17, đường Hồ Tùng Mậu, phường Trường Vinh, Nghệ An</t>
  </si>
  <si>
    <t>01405/NA-GPHĐ</t>
  </si>
  <si>
    <t>PHÒNG KHÁM CHUYÊN KHOA NHI BÁC SỸ QUYÊN</t>
  </si>
  <si>
    <t>Vũ Thị Quyên</t>
  </si>
  <si>
    <t>Số 09, ngõ 69 Nguyễn Thị Minh Khai, phường Thành Vinh, Nghệ An</t>
  </si>
  <si>
    <t>01401/NA-GPHĐ</t>
  </si>
  <si>
    <t>PHÒNG CHẨN TRỊ Y HỌC CỔ TRUYỀN ĐỨC TOÀN ĐƯỜNG</t>
  </si>
  <si>
    <t>Võ Đức Toàn</t>
  </si>
  <si>
    <t>Xóm Tân Yên, xã Tân Phú, Nghệ An</t>
  </si>
  <si>
    <t>01400/NA-GPHĐ</t>
  </si>
  <si>
    <t>CƠ SỞ XÉT NGHIỆM GOLAB NGHỆ AN THUỘC CÔNG TY CỔ PHẦN PHÒNG KHÁM NGHỆ AN</t>
  </si>
  <si>
    <t>Lê Hồng Trường</t>
  </si>
  <si>
    <t xml:space="preserve">Số 68, Hồ Tông Thốc, khối 13, phường Vinh Phú, Nghệ An </t>
  </si>
  <si>
    <t>Cơ sở xét nghiệm</t>
  </si>
  <si>
    <t>01409/NA-GPHĐ</t>
  </si>
  <si>
    <t>CƠ SỞ CHẨN ĐOÁN HÌNH ẢNH VUI TÂM</t>
  </si>
  <si>
    <t>Nguyễn Hồng Vui</t>
  </si>
  <si>
    <t>Phường Vinh Lộc, tỉnh Nghệ An</t>
  </si>
  <si>
    <t>Cơ sở chẩn đoán hình ảnh</t>
  </si>
  <si>
    <t>01412/NA-GPHĐ</t>
  </si>
  <si>
    <t>PHÒNG CHẨN TRỊ Y HOC CỔ TRUYỀN HOÀNG ANH</t>
  </si>
  <si>
    <t>Hoàng Đức Anh</t>
  </si>
  <si>
    <t>Xóm Nghi hưng 4, xã Thần Lĩnh, tỉnh Nghệ An</t>
  </si>
  <si>
    <t>Phòng chẩn trị YHCT</t>
  </si>
  <si>
    <t>01416/NA-GPHĐ</t>
  </si>
  <si>
    <t>PHÒNG CHẨN TRỊ Y HỌC CỔ TRUYỀN LƯU TÂM ĐƯỜNG</t>
  </si>
  <si>
    <t>Lưu ĐÌnh Huy</t>
  </si>
  <si>
    <t>Xóm 1, xã Kim Liên, Nghệ An</t>
  </si>
  <si>
    <t>01415/NA-GPHĐ</t>
  </si>
  <si>
    <t>PHÒNG KHÁM RĂNG HÀM MẶT TÂM VIỆT</t>
  </si>
  <si>
    <t>Số 58, đường Võ Thị Sáu, phường Trường Vinh, tỉnh Nghệ An</t>
  </si>
  <si>
    <t>Phòng khám răng hàm mặt</t>
  </si>
  <si>
    <t>01413/NA-GPHĐ</t>
  </si>
  <si>
    <t>PHÒNG KHÁM CHUYÊN KHOA MẮT BÁC SỸ NĂM THƯƠNG</t>
  </si>
  <si>
    <t>Nguyễn Công Năm</t>
  </si>
  <si>
    <t>đường Trần Đình Quán, phường Vinh Phú, Nghệ an</t>
  </si>
  <si>
    <t>01411/NA-GPHĐ</t>
  </si>
  <si>
    <t>CƠ SỞ XÉT NGHIỆM MEDOLAB NGHỆ AN THUỘC CÔNG TY CỔ PHẦN XÂY DỰNG VÀ DỊCH VỤ THÀNH CÔNG</t>
  </si>
  <si>
    <t>Lê Thị Cẩm Thảo</t>
  </si>
  <si>
    <t>Số 150, đường Nguyễn Sỹ Sácg, phường Trường Vinh, Nghệ An</t>
  </si>
  <si>
    <t>01408/NA-GPHĐ</t>
  </si>
  <si>
    <t>PHÒNG KHÁM CHUYÊN KHOA SẢN PHỤ HỒNG PHÚC</t>
  </si>
  <si>
    <t>Lê Trọng Tài</t>
  </si>
  <si>
    <t>Số 81, đường Nguyễn Thị Minh Khai, phường Thành Vinh, Nghệ An</t>
  </si>
  <si>
    <t>01410/NA-GPHĐ</t>
  </si>
  <si>
    <t>PHÒNG KHÁM CHUYÊN KHOA PHỤ SẢN PHÚC TÂM AN</t>
  </si>
  <si>
    <t>Lê Mạnh Hùng</t>
  </si>
  <si>
    <t>Số 6, Giáng Hương, Khu đô thị Vinh Tân, phường Trường Vinh, Nghệ An</t>
  </si>
  <si>
    <t>01419/NA-GPHĐ</t>
  </si>
  <si>
    <t>PHÒNG KHÁM CHUYÊN KHOA NỘI SKY</t>
  </si>
  <si>
    <t xml:space="preserve">Nguyễn Văn Nghĩa </t>
  </si>
  <si>
    <t>Tầng 2, số 77, Tôn Thất Tùng, phường Trường Vinh, Nghệ An</t>
  </si>
  <si>
    <t>01422/NA-GPHĐ</t>
  </si>
  <si>
    <t>PHÒNG KHÁM CHẨN TRỊ Y HỌC CỔ TRUYỀN NGUYỄN TẤT TIẾN</t>
  </si>
  <si>
    <t>Nguyễn Tất Tiến</t>
  </si>
  <si>
    <t>Xóm 4, Đô Lương, Nghệ An</t>
  </si>
  <si>
    <t>01421/NA-GPHĐ</t>
  </si>
  <si>
    <t>CƠ SỞ CHẨN ĐOÁN HÌNH ẢNH VÂN ANH</t>
  </si>
  <si>
    <t>Hà Thị Vân Anh</t>
  </si>
  <si>
    <t>Số B305, Dương Vân Nga, phường Trường Vinh, Nghệ An</t>
  </si>
  <si>
    <t>01423/NA-GPHĐ</t>
  </si>
  <si>
    <t>PHÒNG KHÁM CHUYÊN KHOA PHỤ SẢN HOÀNG ANH</t>
  </si>
  <si>
    <t>Nguyễn Hoàng Anh</t>
  </si>
  <si>
    <t>Số 26, đường Hồ Tông Thốc, phường Vinh Phú, Nghệ An</t>
  </si>
  <si>
    <t>01418/NA-GPHĐ</t>
  </si>
  <si>
    <t>CƠ SỞ XÉT NGHIỆM AN PHÁT THUỘC CÔNG TY TNHH ĐẦU TƯ THƯƠNG MẠI DƯỢC PHẨM AN PHÁT</t>
  </si>
  <si>
    <t>Bùi Thị Minh</t>
  </si>
  <si>
    <t>Số 23, Nguyễn Bỉnh Khiêm, phường Trường Vinh, Nghệ An</t>
  </si>
  <si>
    <t>01424/NA-GPHĐ</t>
  </si>
  <si>
    <t>PHÒNG KHÁM CHUYÊN KHOA Y HỌC CỔ TRUYỀN THIÊN AN THUỘC CÔNG TY TNHH THIÊN AN DDS HEALTH</t>
  </si>
  <si>
    <t>Vi Thị Lan Hương</t>
  </si>
  <si>
    <t>Tầng 2, Số 14, ngõ 26B, đường Nguyễn Thái Học, phường Thành Vinh, Nghệ An</t>
  </si>
  <si>
    <t>01420/NA-GPHĐ</t>
  </si>
  <si>
    <t>PHÒNG KHÁM CHUYÊN KHOA DA LIỄU THÁI HÒA</t>
  </si>
  <si>
    <t>Phan Văn Thành</t>
  </si>
  <si>
    <t>130 Nguyễn Trãi, phường Thái Hòa, Nghệ An</t>
  </si>
  <si>
    <t>01427/NA-GPHĐ</t>
  </si>
  <si>
    <t>PHÒNG KHÁM CHUYÊN KHOA TAI MŨI HỌNG BÁC SỸ THÚY</t>
  </si>
  <si>
    <t>Nguyễn Thị Thúy</t>
  </si>
  <si>
    <t>Thôn Phật Sơn, xã Đại Đồng, tỉnh Nghệ An</t>
  </si>
  <si>
    <t>01426/NA-GPHĐ</t>
  </si>
  <si>
    <t>PHÒNG KHÁM CHUYÊN KHOA NHI DR TÂY BẮC</t>
  </si>
  <si>
    <t>Lê Thị Hải</t>
  </si>
  <si>
    <t>Số 23, khối Tân Minh, xã Nghĩa Đàn, Nghệ An</t>
  </si>
  <si>
    <t>01425/NA-GPHĐ</t>
  </si>
  <si>
    <t>CƠ SỞ CHẨN ĐOÁN HÌNH ẢNH VIỆT NHẬT - VINH THUỘC CÔNG TY CỔ PHẦN ĐẦU TƯ CÔNG NGHỆ Y TẾ VIỆT NHẬT</t>
  </si>
  <si>
    <t>Phan Sỹ Minh</t>
  </si>
  <si>
    <t>Tầng 1, khu 2, Chung cư CTA, khối 10, phường Vinh Phú, Nghệ An</t>
  </si>
  <si>
    <t>Cở sở chẩn đoán hình ảnh</t>
  </si>
  <si>
    <t>01428/NA-GPHĐ</t>
  </si>
  <si>
    <t>PHÒNG KHÁM BỆNH NỘI KHOA BS THUẦN</t>
  </si>
  <si>
    <t>Đinh Ngọc Thuần</t>
  </si>
  <si>
    <t>Khối Cỏ Nong, Thị trấn Kim Sơn, Quế Phong</t>
  </si>
  <si>
    <t>1326/NA-GPHĐ</t>
  </si>
  <si>
    <t>PHÒNG KHÁM CHẨN ĐOÁN SIÊU ÂM BS VÕ HOÀI NAM</t>
  </si>
  <si>
    <t>Võ Văn Nam</t>
  </si>
  <si>
    <t>Khối Nam Sơn, Thị trấn Kim Sơn, Quế Phong</t>
  </si>
  <si>
    <t>1328/NA-GPHĐ</t>
  </si>
  <si>
    <t>PHÒNG CHẨN ĐOÁN HÌNH ẢNH BẰNG SIÊU ÂM TRẦN THANH MINH</t>
  </si>
  <si>
    <t>Trần Thị Thanh Minh</t>
  </si>
  <si>
    <t>Số 78, ngõ 5, khối 3, xã Con Cuông</t>
  </si>
  <si>
    <t>01432/NA-GPHĐ</t>
  </si>
  <si>
    <t>PHÒNG KHÁM CHUYÊN KHOA NHI DR SỸ 74</t>
  </si>
  <si>
    <t>Nguyễn Văn Trung</t>
  </si>
  <si>
    <t>Xóm 12, xã Quỳnh Sơn</t>
  </si>
  <si>
    <t>01431/NA-GPHĐ</t>
  </si>
  <si>
    <t>CƠ SỞ XÉT NGHIỆM LAB PHỦ QUỲ</t>
  </si>
  <si>
    <t>Đậu Thị Bình</t>
  </si>
  <si>
    <t>Xóm Bắc Hồ, xã Quỳ Hợp, Nghệ An</t>
  </si>
  <si>
    <t>01430/NA-GPHĐ</t>
  </si>
  <si>
    <t>PHÒNG KHÁM RĂNG HÀM MẶT ROYAL GLOBAL THUỘC CÔNG TY TNHH ROYAL GLOBAL</t>
  </si>
  <si>
    <t>Số 56, Lê Hồng Phong, phường Thành Vinh, Nghệ An</t>
  </si>
  <si>
    <t>Phòng khám Răng Hàm Mặt</t>
  </si>
  <si>
    <t>01433/NA-GPHĐ</t>
  </si>
  <si>
    <t>PHÒNG KHÁM RĂNG HÀM MẶT BẢO AN</t>
  </si>
  <si>
    <t>Văn Thị Thu Thủy</t>
  </si>
  <si>
    <t>Số 253, đường Đặng Thai Mai, phường Vinh Hưng</t>
  </si>
  <si>
    <t>01434/NA-GPHD</t>
  </si>
  <si>
    <t>CƠ SỞ KÍNH THUỐC BỆNH VIỆN MẮT SÀI GÒN - VINH THUỘC CÔNG TY CP BỆNH VIỆN MẮT SÀI GÒN - VINH</t>
  </si>
  <si>
    <t>Dương Thị Sơn Hải</t>
  </si>
  <si>
    <t>Đại lộ VI Lê Nin, phường Vinh Phú, tỉnh Nghệ An</t>
  </si>
  <si>
    <t>Cơ sở kính thuốc</t>
  </si>
  <si>
    <t>01435/NA-GPHĐ</t>
  </si>
  <si>
    <t>PHÒNG KHÁM CHUYÊN KHOA PHỤ SẢN SMILE MOM</t>
  </si>
  <si>
    <t>Nguyễn Thị Liệu</t>
  </si>
  <si>
    <t>110B, đường Trà Lân, phường Trường Vinh, tỉnh Nghệ An</t>
  </si>
  <si>
    <t xml:space="preserve">01437/NA-GPHĐ </t>
  </si>
  <si>
    <t>PHÒNG KHÁM CHUYÊN KHOA DA LIỄU BÁC SỸ HIỆP</t>
  </si>
  <si>
    <t>Lê Thị Hiệp</t>
  </si>
  <si>
    <t xml:space="preserve">Số 37, đường Nguyễn Sỹ Quế,phường Trường Vinh, tỉnh Nghệ An </t>
  </si>
  <si>
    <t xml:space="preserve">01438/NA-GPHĐ  </t>
  </si>
  <si>
    <t>CƠ SỞ CHẨN ĐOÁN HÌNH ẢNH BẰNG SIÊU ÂM 48HM</t>
  </si>
  <si>
    <t>Số 48, đường Hermann Gmeiner, phường Trường Vinh, tỉnh Nghệ An</t>
  </si>
  <si>
    <t xml:space="preserve">01439/NA-GPHĐ </t>
  </si>
  <si>
    <t>PHÒNG KHÁM CHUYÊN KHOA NỘI PHÚC SINH</t>
  </si>
  <si>
    <t>Nguyễn Thị Hoài Thương</t>
  </si>
  <si>
    <t>Số 2, BT03, khu chung cư phía Đông, Đại lộ Lê Nin, xóm 20, phường Vinh Phú, tỉnh Nghệ An</t>
  </si>
  <si>
    <t xml:space="preserve">01440/NA-GPHĐ  </t>
  </si>
  <si>
    <t>PHÒNG KHÁM NỘI KHOA PHÚ LƯƠNG THUỘC CÔNG TY TNHH ĐẦU TƯ THANH TÂN</t>
  </si>
  <si>
    <t>Nguyễn Bá Thông</t>
  </si>
  <si>
    <t>xã Bích Hào, tỉnh Nghệ An</t>
  </si>
  <si>
    <t>01441/NA-GPHĐ</t>
  </si>
  <si>
    <t>PHÒNG KHÁM RĂNG HÀM MẶT CAO MINH KHÁNH</t>
  </si>
  <si>
    <t>Cao Minh Khánh</t>
  </si>
  <si>
    <t>Số 01 đường Golden City 4A, khối 02, phường Vinh Hưng, tỉnh Nghệ An</t>
  </si>
  <si>
    <t xml:space="preserve">01442/NA-GPHĐ </t>
  </si>
  <si>
    <t>PHÒNG KHÁM RĂNG HÀM MẶT HÀ NỘI VINH</t>
  </si>
  <si>
    <t>Tầng 01, Tòa nhà Dầu khí, số 07, đường Quang Trung, phường Thành Vinh, tỉnh Nghệ An</t>
  </si>
  <si>
    <t xml:space="preserve">01443/NA-GPHĐ </t>
  </si>
  <si>
    <t>PHÒNG KHÁM RĂNG HÀM MẶT LẠC VIỆT NGHỆ AN THUỘC CÔNG TY CỔ PHẦN LẠC VIỆT INTECH</t>
  </si>
  <si>
    <t>Nguyễn Xuân Hội</t>
  </si>
  <si>
    <t>Số 24, đường Cao Thắng, phường Trường Vinh, tỉnh Nghệ An</t>
  </si>
  <si>
    <t xml:space="preserve">01444/NA-GPHĐ </t>
  </si>
  <si>
    <t>PHÒNG KHÁM CHUYÊN KHOA MẮT DƯ HẢI NAM</t>
  </si>
  <si>
    <t>Lê Thị Minh Huệ</t>
  </si>
  <si>
    <t>Khối 13, phường Vinh Phú, tỉnh Nghệ An</t>
  </si>
  <si>
    <t xml:space="preserve">01446/NA-GPHĐ </t>
  </si>
  <si>
    <t>PHÒNG KHÁM CHUYÊN KHOA NỘI THỦY NGÀ</t>
  </si>
  <si>
    <t>Bùi Xuân Thủy</t>
  </si>
  <si>
    <t>Thôn Kim Nhan 4, xã Anh Sơn, tỉnh Nghệ An</t>
  </si>
  <si>
    <t xml:space="preserve">01447/NA-GPHĐ </t>
  </si>
  <si>
    <t>PHÒNG KHÁM NỘI KHOA BÁC SĨ THÂN</t>
  </si>
  <si>
    <t>Trịnh Văn Thân</t>
  </si>
  <si>
    <t>Xóm 02, xã Kim Liên, tỉnh Nghệ An</t>
  </si>
  <si>
    <t xml:space="preserve">01448/NA-GPHĐ </t>
  </si>
  <si>
    <t>PHÒNG KHÁM RĂNG HÀM MẶT BÁC SĨ THÀNH</t>
  </si>
  <si>
    <t>Đậu Đức Thành</t>
  </si>
  <si>
    <t xml:space="preserve">01449/NA-GPHĐ </t>
  </si>
  <si>
    <t>PHÒNG KHÁM RĂNG HÀM MẶT ĐỨC PHƯƠNG</t>
  </si>
  <si>
    <t>Số 178 đường Nguyễn Trãi, phường Thái Hòa, tỉnh Nghệ An</t>
  </si>
  <si>
    <t xml:space="preserve">01450/NA-GPHĐ </t>
  </si>
  <si>
    <t>PHÒNG KHÁM NỘI TIÊU HÓA LAM HỒNG TRỰC THUỘC CÔNG TY CỔ PHẦN Y TẾ HÀ AN</t>
  </si>
  <si>
    <t>Tầng 2,3 nhà DO16, đại lộ Lê Nin, phường Vinh Phú, tỉnh Nghệ An</t>
  </si>
  <si>
    <t xml:space="preserve">01451/NA-GPHĐ </t>
  </si>
  <si>
    <t>Phòng khám đa khoa Hòa Bình thuộc Công ty TNHH Khám chữa bệnh Hòa Bình</t>
  </si>
  <si>
    <t>Số 203 Xóm Hòa Nam, Xã Tương Dương</t>
  </si>
  <si>
    <t>Phòng khám Đa khoa</t>
  </si>
  <si>
    <t>01338/NA-GPHĐ</t>
  </si>
  <si>
    <t>Phòng khám đa khoa Hà Nội - Quỳ Châu trực thuộc công ty cổ phần khám chữa bệnh Đoàn Kết II</t>
  </si>
  <si>
    <t>Số 57 Thẳm Ồm,  thôn Tân Hương, Xã Quỳ Châu</t>
  </si>
  <si>
    <t>1235/NA-GPHĐ</t>
  </si>
  <si>
    <t>Phòng khám Đa khoa Đông Hiếu thuộc Công ty Cổ phần KCB Đông Hiếu</t>
  </si>
  <si>
    <t>Xóm Đông Mỹ, Xã Đông Hiếu</t>
  </si>
  <si>
    <t>1092/NA-GPHĐ</t>
  </si>
  <si>
    <t>Phòng khám đa khoa Tân Thanh trực thuộc Công ty cổ phần tổng hợp Hà An</t>
  </si>
  <si>
    <t>Thôn 5A, Xã Đại Đồng</t>
  </si>
  <si>
    <t>1379/NA-GPHĐ</t>
  </si>
  <si>
    <t>Phòng khám đa khoa Medic Diễn Châu- trực thuộc công ty cổ phần bệnh viện Medic Diễn Châu</t>
  </si>
  <si>
    <t>Khối Bắc, Xã Đức Châu</t>
  </si>
  <si>
    <t>1041/NA-GPHĐ</t>
  </si>
  <si>
    <t>Phòng khám đa khoa An Phước thuộc Công ty cổ phần dịch vụ y tế An Phước</t>
  </si>
  <si>
    <t>Khu đô thị mới, Quốc lộ 46, Xã Vạn An</t>
  </si>
  <si>
    <t>0990/NA-GPHN</t>
  </si>
  <si>
    <t>Phòng khám đa khoa Tuệ An thuộc Công ty TNHH Y tế Tuệ An</t>
  </si>
  <si>
    <t>Xóm Yên Luốm, Xã Quỳ Hợp</t>
  </si>
  <si>
    <t>Phòng khám Đa khoa Tân Thanh Nam Đàn trực thuộc Công ty CP Tổng hợp Hà An</t>
  </si>
  <si>
    <t>Xóm Ba Hà, Xã Vạn An</t>
  </si>
  <si>
    <t>0152/NA-GPHĐ</t>
  </si>
  <si>
    <t>Phòng khám đa khoa Phúc Khang trực thuộc Công ty Cổ phần Dược và Dịch vụ Y tế Phúc Khang</t>
  </si>
  <si>
    <t>Thôn Cây Chanh, Xã Nhân Hoà</t>
  </si>
  <si>
    <t>01429/NA-GPHĐ</t>
  </si>
  <si>
    <t>Phòng khám đa khoa Minh Ngọc trực thuộc Công ty TNHH Khám và chữa bệnh Minh Ngọc</t>
  </si>
  <si>
    <t>Xóm Ngọc Thượng, xã Vân Tụ</t>
  </si>
  <si>
    <t>0733/NA-GPHĐ</t>
  </si>
  <si>
    <t>Phòng khám đa khoa Thiên Phước trực thuộc công ty TNHH Medic Sông Lam</t>
  </si>
  <si>
    <t>Xóm 5, Xã Phúc Lộc</t>
  </si>
  <si>
    <t>1111/NA-GPHĐ</t>
  </si>
  <si>
    <t>Phòng khám đa khoa Quang Trung trực thuộc Công ty TNHH khám chữa bệnh Quang Trung</t>
  </si>
  <si>
    <t>Thông Tuần B, xã Quỳnh Tam</t>
  </si>
  <si>
    <t>1309/NA-GPHĐ</t>
  </si>
  <si>
    <t>Phòng khám đa khoa Medic Nghệ An</t>
  </si>
  <si>
    <t>Khu đô thị Vườn Xanh, xã Đô Lương</t>
  </si>
  <si>
    <t>1199/NA-GPHĐ</t>
  </si>
  <si>
    <t>Phòng khám bệnh đa khoa tư nhân Tây An Thuộc
Công ty TNHH y tế Tây An</t>
  </si>
  <si>
    <t>Thôn Kim Nhan 4, Xã Anh Sơn</t>
  </si>
  <si>
    <t>0459/SYT-GPHĐ</t>
  </si>
  <si>
    <t>Phòng khám bệnh đa khoa tư nhân Nam Cầu Bùng</t>
  </si>
  <si>
    <t>Thôn Cầu Bùng, Xã Đức Châu</t>
  </si>
  <si>
    <t>0202/NA-GPHĐ</t>
  </si>
  <si>
    <t>Phòng khám bệnh đa khoa Trung tâm Kiểm 
soát bệnh tật tỉnh Nghệ An</t>
  </si>
  <si>
    <t>Số 142 Lê Hồng Phong, phường Trường Vinh</t>
  </si>
  <si>
    <t>1205/NA-GPHĐ</t>
  </si>
  <si>
    <t>Phòng khám bệnh đa khoa tư nhân Tâm Anh</t>
  </si>
  <si>
    <t>Số 128 Thôn Kim Nhan 4, Xã Anh Sơn</t>
  </si>
  <si>
    <t>0959/SYT-GPHĐ</t>
  </si>
  <si>
    <t>Phòng khám đa khoa 115 Phú Hậu thuộc Công ty TNHH 115 Phú Hậu</t>
  </si>
  <si>
    <t>Xóm Phú Hậu, Xã Quảng Châu</t>
  </si>
  <si>
    <t>0849/SYT-GPHĐ</t>
  </si>
  <si>
    <t>Phòng khám đa khoa 115 Sông Lam trực thuộc Công ty CP 115 Sông Lam</t>
  </si>
  <si>
    <t>Xóm Tân Long, Xã Hưng Nguyên Nam</t>
  </si>
  <si>
    <t>1276/NA-GPHĐ</t>
  </si>
  <si>
    <t>Phòng khám bệnh đa khoa tư nhân Toà Giám Mục Xã Đoài thuộc công ty TNHH Thiện Tâm</t>
  </si>
  <si>
    <t>Xóm Quyết Thắng, Xã Nghi Lộc</t>
  </si>
  <si>
    <t>0126/NA-GPHĐ</t>
  </si>
  <si>
    <t>Phòng khám bệnh  đa khoa tư nhân Thành Đô</t>
  </si>
  <si>
    <t>Xóm Trung Dinh, Xã Yên Thành</t>
  </si>
  <si>
    <t>0227/NA.GPHĐ</t>
  </si>
  <si>
    <t>Phòng khám đa khoa tư nhân Yên Lý thuộc công ty TNHH Bình Tâm Nam Yên Lý</t>
  </si>
  <si>
    <t>Xóm Yên Lý, Xã Hùng Châu</t>
  </si>
  <si>
    <t>0028/NA-GPHĐ</t>
  </si>
  <si>
    <t>Phòng khám đa khoa Trường An thuộc doanh nghiệp tư nhân phòng khám đa khoa Trường An</t>
  </si>
  <si>
    <t>Xóm Yên Xuân, Xã Diễn Châu</t>
  </si>
  <si>
    <t>0807/NA-GPHĐ</t>
  </si>
  <si>
    <t>Phòng khám bệnh đa khoa tư nhân Đồng Thành trực thuộc Công ty cổ phần dịch vụ y tế Đồng Thành</t>
  </si>
  <si>
    <t>xóm Tân Phú, xã Quảng Châu</t>
  </si>
  <si>
    <t>0886/NA-GPHĐ</t>
  </si>
  <si>
    <t>Phòng khám Đa khoa Tâm Ngọc thuộc Công ty TNHH Y Dược Tâm Ngọc</t>
  </si>
  <si>
    <t>Thôn 6, Xã Yên Xuân</t>
  </si>
  <si>
    <t>01417/NA-GPHĐ</t>
  </si>
  <si>
    <t xml:space="preserve">Phòng khám đa khoa tư nhân Tân Hà trực thuộc Công ty TNHH phát triển bệnh viện Tân Hà </t>
  </si>
  <si>
    <t>Số 66, đường Trường Sơn, Khối 4, xã Tân Kỳ</t>
  </si>
  <si>
    <t>0510/NA-GPHĐ</t>
  </si>
  <si>
    <t>Phòng khám đa khoa tư nhân Đoàn kết trực thuộc Công ty cổ phần khám chữa bệnh Đoàn kết</t>
  </si>
  <si>
    <t>Xóm Đoàn kết, Xã Tam Hợp</t>
  </si>
  <si>
    <t>0198/NA-GPHĐ</t>
  </si>
  <si>
    <t xml:space="preserve">Phòng khám đa khoa Trang Hào </t>
  </si>
  <si>
    <t xml:space="preserve">Thôn Phúc Sơn 2, Xã Anh Sơn </t>
  </si>
  <si>
    <t>1344/NA-GPHĐ</t>
  </si>
  <si>
    <t>Phòng khám Đa khoa Lê Lợi</t>
  </si>
  <si>
    <t>Số 99 đường Lê Lợi, Phường Thành Vinh</t>
  </si>
  <si>
    <t>1096/NA-GPHĐ</t>
  </si>
  <si>
    <t>Phòng khám đa khoa Anh Thái</t>
  </si>
  <si>
    <t>Xóm 3 Đà Sơn, Xã Đô Lương</t>
  </si>
  <si>
    <t>01382/NA-GPHĐ</t>
  </si>
  <si>
    <t>Phòng khám đa khoa Quang Minh</t>
  </si>
  <si>
    <t>Thôn 7 Quỳnh Bá, Xã Quỳnh Lưu</t>
  </si>
  <si>
    <t>1106/NA-GPHĐ</t>
  </si>
  <si>
    <t>Phòng khám Trung tâm điều dưỡng Người có công với cách mạng Nghệ An</t>
  </si>
  <si>
    <t>Số 41 Nguyễn Thái Học, Phường Thành Vinh</t>
  </si>
  <si>
    <t>0512/NA-GPHĐ</t>
  </si>
  <si>
    <t>Phòng khám Đa khoa Hà Nội - Thái Hoà, trực thuộc Công ty Cổ phần Y dược Hà Nội - Thái Hoà</t>
  </si>
  <si>
    <t>Số 396, đường Trần Hưng Đạo, khối Lam Sơn, Phường Thái Hòa</t>
  </si>
  <si>
    <t>Phòng khám bệnh đa khoa Cường Phát trực thuộc Doanh nghiệp tư nhân Dung Hồng</t>
  </si>
  <si>
    <t>Thượng Sơn 7, Xã Văn Hiến</t>
  </si>
  <si>
    <t>0229/NA-GPHN</t>
  </si>
  <si>
    <t xml:space="preserve">Phòng khám đa khoa MEDLATEC số 14- Vinh Phú Nghệ An trực thuộc Công ty TNHH MEDLATEC Việt Nam </t>
  </si>
  <si>
    <t xml:space="preserve"> Lô 35 - 36, Khu đô thị liền kề Vinaconex 9, đường Lê Nin, xóm 19, Phường Vinh Phú</t>
  </si>
  <si>
    <t>1308/NA-GPHN</t>
  </si>
  <si>
    <t>phòng khám đa khoa Tân ThanH Vsip trực thuộc công ty cổ phần tổng hợp Hà An</t>
  </si>
  <si>
    <t>Xóm Khoa Đà, xã Hưng Nguyên, tỉnh Nghệ An, Hưng Nguyên</t>
  </si>
  <si>
    <t>1271/NA-GPHĐ</t>
  </si>
  <si>
    <t>Phòng khám đa khoa Tư nhân 247</t>
  </si>
  <si>
    <t>xóm 9 xã hợp minh,tỉnh Nghệ An, xã Hợp Minh</t>
  </si>
  <si>
    <t>0611/NA-GPHĐ</t>
  </si>
  <si>
    <t>Phòng Khám Đa Khoa Y Học Nghệ An</t>
  </si>
  <si>
    <t>LK 10-11 Số 72 Lê Lợi, Phường Thành Vinh</t>
  </si>
  <si>
    <t>1365/NA-GPHĐ</t>
  </si>
  <si>
    <t>Phòng Khám Đa Khoa Tư Nhân Tâm Anh</t>
  </si>
  <si>
    <t>Số 128, tổ dân phố 4, Xã Anh Sơn</t>
  </si>
  <si>
    <t>0959/NA-GPHĐ</t>
  </si>
  <si>
    <t>Cơ sở chẩn đoán hình ảnh Vui Tâm</t>
  </si>
  <si>
    <t>Khối 9, Phường Vinh Lộc</t>
  </si>
  <si>
    <t>013174/NA-CCHN</t>
  </si>
  <si>
    <t>Phòng khám bệnh nghề nghiệp Trung tâm Kiểm soát bệnh tật tỉnh Nghệ An</t>
  </si>
  <si>
    <t>Số 142 Lê Hồng Phong, Phường Trường Vinh</t>
  </si>
  <si>
    <t>Phòng khám bệnh nghề nghiệp</t>
  </si>
  <si>
    <t>008171/NA-CCHN</t>
  </si>
  <si>
    <t xml:space="preserve">Cơ sở xét nghiệm  MEDLATEC số 12-Trường Vinh Nghệ An trực thuộc Công ty TNHH MEDLATEC Việt Nam </t>
  </si>
  <si>
    <t>Tầng 02 Số 91A, đường Hoàng Thị Loan, khối 4, Phường Trường Vinh</t>
  </si>
  <si>
    <t>0002601/BN-CCHN</t>
  </si>
  <si>
    <t xml:space="preserve">Cơ sở điều dưỡng MEDLATEC số 12-Trường Vinh Nghệ An trực thuộc Công ty TNHH MEDLATEC Việt Nam </t>
  </si>
  <si>
    <t>Cơ sở dịch vụ điều dưỡng</t>
  </si>
  <si>
    <t>002361/NA-CCHN</t>
  </si>
  <si>
    <t>Số lượng phòng khám</t>
  </si>
  <si>
    <t>Số lượng 
Cửa hàng thuốc</t>
  </si>
  <si>
    <t>CT01_VNPT Home &amp; Clinic</t>
  </si>
  <si>
    <t>CT2_VNPT Pharmacy</t>
  </si>
  <si>
    <t>KHG PK sử dụng gói cước thử nghiệm (TB)</t>
  </si>
  <si>
    <t>KHG PK sử dụng gói cước có phí (TB)</t>
  </si>
  <si>
    <t>KHG
Thâm canh
 dịch vụ (TB)</t>
  </si>
  <si>
    <t>KHG phát triển dịch vụ VNPT Pharmcy
 (có phí)</t>
  </si>
  <si>
    <t>Tỷ trọng</t>
  </si>
  <si>
    <t>Tổng</t>
  </si>
  <si>
    <t>1370/NA-GPHĐ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</si>
</sst>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6AFF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2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2" fillId="3" borderId="0" xfId="0" applyFont="1" applyFill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9" fontId="11" fillId="0" borderId="6" xfId="0" applyNumberFormat="1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/>
    </xf>
    <xf numFmtId="0" fontId="12" fillId="0" borderId="0" xfId="0" applyFo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4"/>
  <sheetViews>
    <sheetView zoomScaleNormal="100" workbookViewId="0">
      <selection activeCell="I15" sqref="I15"/>
    </sheetView>
  </sheetViews>
  <sheetFormatPr defaultRowHeight="15.75" customHeight="1" x14ac:dyDescent="0.25"/>
  <cols>
    <col min="1" max="1" width="12.7109375" customWidth="1"/>
    <col min="2" max="2" width="14.28515625" customWidth="1"/>
    <col min="4" max="4" width="16.42578125" customWidth="1"/>
  </cols>
  <sheetData>
    <row r="3" spans="1:5" x14ac:dyDescent="0.25">
      <c r="A3" s="1" t="s">
        <v>0</v>
      </c>
      <c r="B3" t="s">
        <v>1</v>
      </c>
    </row>
    <row r="4" spans="1:5" x14ac:dyDescent="0.25">
      <c r="A4" s="2" t="s">
        <v>2</v>
      </c>
      <c r="B4">
        <v>14</v>
      </c>
      <c r="D4" t="s">
        <v>2</v>
      </c>
      <c r="E4">
        <f>COUNTIF(Sheet1!G:G,Sheet4!D4)</f>
        <v>20</v>
      </c>
    </row>
    <row r="5" spans="1:5" x14ac:dyDescent="0.25">
      <c r="A5" s="2" t="s">
        <v>3</v>
      </c>
      <c r="B5">
        <v>8</v>
      </c>
      <c r="D5" t="s">
        <v>3</v>
      </c>
      <c r="E5">
        <f>COUNTIF(Sheet1!G:G,Sheet4!D5)</f>
        <v>8</v>
      </c>
    </row>
    <row r="6" spans="1:5" x14ac:dyDescent="0.25">
      <c r="A6" s="2" t="s">
        <v>4</v>
      </c>
      <c r="B6">
        <v>32</v>
      </c>
      <c r="D6" t="s">
        <v>4</v>
      </c>
      <c r="E6">
        <f>COUNTIF(Sheet1!G:G,Sheet4!D6)</f>
        <v>38</v>
      </c>
    </row>
    <row r="7" spans="1:5" x14ac:dyDescent="0.25">
      <c r="A7" s="2" t="s">
        <v>5</v>
      </c>
      <c r="B7">
        <v>21</v>
      </c>
      <c r="D7" t="s">
        <v>5</v>
      </c>
      <c r="E7">
        <f>COUNTIF(Sheet1!G:G,Sheet4!D7)</f>
        <v>24</v>
      </c>
    </row>
    <row r="8" spans="1:5" x14ac:dyDescent="0.25">
      <c r="A8" s="2" t="s">
        <v>6</v>
      </c>
      <c r="B8">
        <v>2</v>
      </c>
      <c r="D8" t="s">
        <v>6</v>
      </c>
      <c r="E8">
        <f>COUNTIF(Sheet1!G:G,Sheet4!D8)</f>
        <v>0</v>
      </c>
    </row>
    <row r="9" spans="1:5" x14ac:dyDescent="0.25">
      <c r="A9" s="2" t="s">
        <v>7</v>
      </c>
      <c r="B9">
        <v>8</v>
      </c>
      <c r="D9" t="s">
        <v>7</v>
      </c>
      <c r="E9">
        <f>COUNTIF(Sheet1!G:G,Sheet4!D9)</f>
        <v>8</v>
      </c>
    </row>
    <row r="10" spans="1:5" x14ac:dyDescent="0.25">
      <c r="A10" s="2" t="s">
        <v>8</v>
      </c>
      <c r="B10">
        <v>23</v>
      </c>
      <c r="D10" t="s">
        <v>8</v>
      </c>
      <c r="E10">
        <f>COUNTIF(Sheet1!G:G,Sheet4!D10)</f>
        <v>26</v>
      </c>
    </row>
    <row r="11" spans="1:5" x14ac:dyDescent="0.25">
      <c r="A11" s="2" t="s">
        <v>9</v>
      </c>
      <c r="B11">
        <v>32</v>
      </c>
      <c r="D11" t="s">
        <v>9</v>
      </c>
      <c r="E11">
        <f>COUNTIF(Sheet1!G:G,Sheet4!D11)</f>
        <v>34</v>
      </c>
    </row>
    <row r="12" spans="1:5" x14ac:dyDescent="0.25">
      <c r="A12" s="2" t="s">
        <v>10</v>
      </c>
      <c r="B12">
        <v>58</v>
      </c>
      <c r="D12" t="s">
        <v>10</v>
      </c>
      <c r="E12">
        <f>COUNTIF(Sheet1!G:G,Sheet4!D12)</f>
        <v>60</v>
      </c>
    </row>
    <row r="13" spans="1:5" x14ac:dyDescent="0.25">
      <c r="A13" s="2" t="s">
        <v>11</v>
      </c>
      <c r="B13">
        <v>5</v>
      </c>
      <c r="D13" t="s">
        <v>11</v>
      </c>
      <c r="E13">
        <f>COUNTIF(Sheet1!G:G,Sheet4!D13)</f>
        <v>5</v>
      </c>
    </row>
    <row r="14" spans="1:5" x14ac:dyDescent="0.25">
      <c r="A14" s="2" t="s">
        <v>12</v>
      </c>
      <c r="B14">
        <v>5</v>
      </c>
      <c r="D14" t="s">
        <v>12</v>
      </c>
      <c r="E14">
        <f>COUNTIF(Sheet1!G:G,Sheet4!D14)</f>
        <v>6</v>
      </c>
    </row>
    <row r="15" spans="1:5" x14ac:dyDescent="0.25">
      <c r="A15" s="2" t="s">
        <v>13</v>
      </c>
      <c r="B15">
        <v>24</v>
      </c>
      <c r="D15" t="s">
        <v>13</v>
      </c>
      <c r="E15">
        <f>COUNTIF(Sheet1!G:G,Sheet4!D15)</f>
        <v>26</v>
      </c>
    </row>
    <row r="16" spans="1:5" x14ac:dyDescent="0.25">
      <c r="A16" s="2" t="s">
        <v>14</v>
      </c>
      <c r="B16">
        <v>51</v>
      </c>
      <c r="D16" t="s">
        <v>14</v>
      </c>
      <c r="E16">
        <f>COUNTIF(Sheet1!G:G,Sheet4!D16)</f>
        <v>53</v>
      </c>
    </row>
    <row r="17" spans="1:5" x14ac:dyDescent="0.25">
      <c r="A17" s="2" t="s">
        <v>15</v>
      </c>
      <c r="B17">
        <v>12</v>
      </c>
      <c r="D17" t="s">
        <v>15</v>
      </c>
      <c r="E17">
        <f>COUNTIF(Sheet1!G:G,Sheet4!D17)</f>
        <v>13</v>
      </c>
    </row>
    <row r="18" spans="1:5" x14ac:dyDescent="0.25">
      <c r="A18" s="2" t="s">
        <v>16</v>
      </c>
      <c r="B18">
        <v>27</v>
      </c>
      <c r="D18" t="s">
        <v>16</v>
      </c>
      <c r="E18">
        <f>COUNTIF(Sheet1!G:G,Sheet4!D18)</f>
        <v>28</v>
      </c>
    </row>
    <row r="19" spans="1:5" x14ac:dyDescent="0.25">
      <c r="A19" s="2" t="s">
        <v>17</v>
      </c>
      <c r="B19">
        <v>324</v>
      </c>
      <c r="D19" t="s">
        <v>17</v>
      </c>
      <c r="E19">
        <f>COUNTIF(Sheet1!G:G,Sheet4!D19)</f>
        <v>333</v>
      </c>
    </row>
    <row r="20" spans="1:5" x14ac:dyDescent="0.25">
      <c r="A20" s="2" t="s">
        <v>18</v>
      </c>
      <c r="B20">
        <v>6</v>
      </c>
      <c r="D20" t="s">
        <v>18</v>
      </c>
      <c r="E20">
        <f>COUNTIF(Sheet1!G:G,Sheet4!D20)</f>
        <v>7</v>
      </c>
    </row>
    <row r="21" spans="1:5" x14ac:dyDescent="0.25">
      <c r="A21" s="2" t="s">
        <v>19</v>
      </c>
      <c r="B21">
        <v>12</v>
      </c>
      <c r="D21" t="s">
        <v>19</v>
      </c>
      <c r="E21">
        <f>COUNTIF(Sheet1!G:G,Sheet4!D21)</f>
        <v>14</v>
      </c>
    </row>
    <row r="22" spans="1:5" x14ac:dyDescent="0.25">
      <c r="A22" s="2" t="s">
        <v>20</v>
      </c>
      <c r="B22">
        <v>13</v>
      </c>
      <c r="D22" t="s">
        <v>20</v>
      </c>
      <c r="E22">
        <f>COUNTIF(Sheet1!G:G,Sheet4!D22)</f>
        <v>13</v>
      </c>
    </row>
    <row r="23" spans="1:5" x14ac:dyDescent="0.25">
      <c r="A23" s="2" t="s">
        <v>21</v>
      </c>
      <c r="B23">
        <v>32</v>
      </c>
      <c r="D23" t="s">
        <v>21</v>
      </c>
      <c r="E23">
        <f>COUNTIF(Sheet1!G:G,Sheet4!D23)</f>
        <v>35</v>
      </c>
    </row>
    <row r="24" spans="1:5" x14ac:dyDescent="0.25">
      <c r="A24" s="2" t="s">
        <v>22</v>
      </c>
      <c r="B24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3"/>
  <sheetViews>
    <sheetView tabSelected="1" topLeftCell="A649" zoomScaleNormal="100" workbookViewId="0">
      <selection activeCell="H659" sqref="H659"/>
    </sheetView>
  </sheetViews>
  <sheetFormatPr defaultColWidth="7.7109375" defaultRowHeight="15.75" customHeight="1" x14ac:dyDescent="0.25"/>
  <cols>
    <col min="1" max="1" width="5.140625" style="3" customWidth="1"/>
    <col min="2" max="2" width="70.7109375" style="4" customWidth="1"/>
    <col min="3" max="3" width="26.42578125" style="5" customWidth="1"/>
    <col min="4" max="4" width="39.85546875" style="6" customWidth="1"/>
    <col min="5" max="5" width="26.5703125" style="6" customWidth="1"/>
    <col min="6" max="6" width="15.28515625" style="7" customWidth="1"/>
    <col min="7" max="7" width="13.28515625" style="5" customWidth="1"/>
    <col min="8" max="8" width="24" style="5" customWidth="1"/>
    <col min="9" max="16384" width="7.7109375" style="5"/>
  </cols>
  <sheetData>
    <row r="1" spans="1:7" ht="31.5" customHeight="1" x14ac:dyDescent="0.25">
      <c r="A1" s="8" t="s">
        <v>23</v>
      </c>
      <c r="B1" s="9" t="s">
        <v>24</v>
      </c>
      <c r="C1" s="10" t="s">
        <v>25</v>
      </c>
      <c r="D1" s="11" t="s">
        <v>26</v>
      </c>
      <c r="E1" s="12" t="s">
        <v>27</v>
      </c>
      <c r="F1" s="13" t="s">
        <v>28</v>
      </c>
      <c r="G1" s="5" t="s">
        <v>29</v>
      </c>
    </row>
    <row r="2" spans="1:7" x14ac:dyDescent="0.25">
      <c r="A2" s="14">
        <v>1</v>
      </c>
      <c r="B2" s="15" t="s">
        <v>30</v>
      </c>
      <c r="C2" s="16" t="s">
        <v>31</v>
      </c>
      <c r="D2" s="17" t="s">
        <v>32</v>
      </c>
      <c r="E2" s="17" t="s">
        <v>33</v>
      </c>
      <c r="F2" s="15" t="s">
        <v>34</v>
      </c>
      <c r="G2" s="18" t="s">
        <v>17</v>
      </c>
    </row>
    <row r="3" spans="1:7" x14ac:dyDescent="0.25">
      <c r="A3" s="14">
        <v>2</v>
      </c>
      <c r="B3" s="15" t="s">
        <v>35</v>
      </c>
      <c r="C3" s="16" t="s">
        <v>36</v>
      </c>
      <c r="D3" s="17" t="s">
        <v>37</v>
      </c>
      <c r="E3" s="17" t="s">
        <v>33</v>
      </c>
      <c r="F3" s="19" t="s">
        <v>38</v>
      </c>
      <c r="G3" s="18" t="s">
        <v>17</v>
      </c>
    </row>
    <row r="4" spans="1:7" ht="16.5" customHeight="1" x14ac:dyDescent="0.25">
      <c r="A4" s="14">
        <v>3</v>
      </c>
      <c r="B4" s="15" t="s">
        <v>35</v>
      </c>
      <c r="C4" s="16" t="s">
        <v>39</v>
      </c>
      <c r="D4" s="17" t="s">
        <v>40</v>
      </c>
      <c r="E4" s="17" t="s">
        <v>33</v>
      </c>
      <c r="F4" s="19" t="s">
        <v>41</v>
      </c>
      <c r="G4" s="18" t="s">
        <v>17</v>
      </c>
    </row>
    <row r="5" spans="1:7" ht="31.5" x14ac:dyDescent="0.25">
      <c r="A5" s="14">
        <v>4</v>
      </c>
      <c r="B5" s="15" t="s">
        <v>35</v>
      </c>
      <c r="C5" s="16" t="s">
        <v>42</v>
      </c>
      <c r="D5" s="17" t="s">
        <v>43</v>
      </c>
      <c r="E5" s="17" t="s">
        <v>33</v>
      </c>
      <c r="F5" s="20" t="s">
        <v>44</v>
      </c>
      <c r="G5" s="18" t="s">
        <v>17</v>
      </c>
    </row>
    <row r="6" spans="1:7" ht="31.5" x14ac:dyDescent="0.25">
      <c r="A6" s="14">
        <v>5</v>
      </c>
      <c r="B6" s="15" t="s">
        <v>45</v>
      </c>
      <c r="C6" s="16" t="s">
        <v>46</v>
      </c>
      <c r="D6" s="17" t="s">
        <v>47</v>
      </c>
      <c r="E6" s="17" t="s">
        <v>33</v>
      </c>
      <c r="F6" s="19" t="s">
        <v>48</v>
      </c>
      <c r="G6" s="18" t="s">
        <v>18</v>
      </c>
    </row>
    <row r="7" spans="1:7" x14ac:dyDescent="0.25">
      <c r="A7" s="14">
        <v>6</v>
      </c>
      <c r="B7" s="15" t="s">
        <v>49</v>
      </c>
      <c r="C7" s="16" t="s">
        <v>50</v>
      </c>
      <c r="D7" s="17" t="s">
        <v>51</v>
      </c>
      <c r="E7" s="17" t="s">
        <v>33</v>
      </c>
      <c r="F7" s="21" t="s">
        <v>52</v>
      </c>
      <c r="G7" s="18" t="s">
        <v>9</v>
      </c>
    </row>
    <row r="8" spans="1:7" x14ac:dyDescent="0.25">
      <c r="A8" s="14">
        <v>7</v>
      </c>
      <c r="B8" s="15" t="s">
        <v>49</v>
      </c>
      <c r="C8" s="16" t="s">
        <v>53</v>
      </c>
      <c r="D8" s="17" t="s">
        <v>54</v>
      </c>
      <c r="E8" s="17" t="s">
        <v>33</v>
      </c>
      <c r="F8" s="22" t="s">
        <v>55</v>
      </c>
      <c r="G8" s="18" t="s">
        <v>3</v>
      </c>
    </row>
    <row r="9" spans="1:7" x14ac:dyDescent="0.25">
      <c r="A9" s="14">
        <v>8</v>
      </c>
      <c r="B9" s="15" t="s">
        <v>56</v>
      </c>
      <c r="C9" s="16" t="s">
        <v>57</v>
      </c>
      <c r="D9" s="17" t="s">
        <v>58</v>
      </c>
      <c r="E9" s="17" t="s">
        <v>59</v>
      </c>
      <c r="F9" s="19" t="s">
        <v>60</v>
      </c>
      <c r="G9" s="18" t="s">
        <v>17</v>
      </c>
    </row>
    <row r="10" spans="1:7" ht="31.5" customHeight="1" x14ac:dyDescent="0.25">
      <c r="A10" s="14">
        <v>9</v>
      </c>
      <c r="B10" s="15" t="s">
        <v>49</v>
      </c>
      <c r="C10" s="16" t="s">
        <v>61</v>
      </c>
      <c r="D10" s="17" t="s">
        <v>62</v>
      </c>
      <c r="E10" s="17" t="s">
        <v>33</v>
      </c>
      <c r="F10" s="19" t="s">
        <v>63</v>
      </c>
      <c r="G10" s="18" t="s">
        <v>17</v>
      </c>
    </row>
    <row r="11" spans="1:7" ht="31.5" customHeight="1" x14ac:dyDescent="0.25">
      <c r="A11" s="14">
        <v>10</v>
      </c>
      <c r="B11" s="15" t="s">
        <v>64</v>
      </c>
      <c r="C11" s="16" t="s">
        <v>65</v>
      </c>
      <c r="D11" s="17" t="s">
        <v>66</v>
      </c>
      <c r="E11" s="17" t="s">
        <v>33</v>
      </c>
      <c r="F11" s="19" t="s">
        <v>67</v>
      </c>
      <c r="G11" s="18" t="s">
        <v>17</v>
      </c>
    </row>
    <row r="12" spans="1:7" x14ac:dyDescent="0.25">
      <c r="A12" s="14">
        <v>11</v>
      </c>
      <c r="B12" s="15" t="s">
        <v>35</v>
      </c>
      <c r="C12" s="16" t="s">
        <v>68</v>
      </c>
      <c r="D12" s="17" t="s">
        <v>69</v>
      </c>
      <c r="E12" s="17" t="s">
        <v>33</v>
      </c>
      <c r="F12" s="19" t="s">
        <v>70</v>
      </c>
      <c r="G12" s="18" t="s">
        <v>13</v>
      </c>
    </row>
    <row r="13" spans="1:7" x14ac:dyDescent="0.25">
      <c r="A13" s="14">
        <v>12</v>
      </c>
      <c r="B13" s="15" t="s">
        <v>71</v>
      </c>
      <c r="C13" s="16" t="s">
        <v>72</v>
      </c>
      <c r="D13" s="17" t="s">
        <v>73</v>
      </c>
      <c r="E13" s="17" t="s">
        <v>33</v>
      </c>
      <c r="F13" s="19" t="s">
        <v>74</v>
      </c>
      <c r="G13" s="18" t="s">
        <v>17</v>
      </c>
    </row>
    <row r="14" spans="1:7" x14ac:dyDescent="0.25">
      <c r="A14" s="14">
        <v>13</v>
      </c>
      <c r="B14" s="15" t="s">
        <v>75</v>
      </c>
      <c r="C14" s="16" t="s">
        <v>76</v>
      </c>
      <c r="D14" s="17" t="s">
        <v>73</v>
      </c>
      <c r="E14" s="17" t="s">
        <v>33</v>
      </c>
      <c r="F14" s="19" t="s">
        <v>77</v>
      </c>
      <c r="G14" s="18" t="s">
        <v>17</v>
      </c>
    </row>
    <row r="15" spans="1:7" x14ac:dyDescent="0.25">
      <c r="A15" s="14">
        <v>14</v>
      </c>
      <c r="B15" s="15" t="s">
        <v>78</v>
      </c>
      <c r="C15" s="16" t="s">
        <v>79</v>
      </c>
      <c r="D15" s="17" t="s">
        <v>80</v>
      </c>
      <c r="E15" s="17" t="s">
        <v>33</v>
      </c>
      <c r="F15" s="22" t="s">
        <v>81</v>
      </c>
      <c r="G15" s="18" t="s">
        <v>10</v>
      </c>
    </row>
    <row r="16" spans="1:7" x14ac:dyDescent="0.25">
      <c r="A16" s="14">
        <v>15</v>
      </c>
      <c r="B16" s="15" t="s">
        <v>82</v>
      </c>
      <c r="C16" s="16" t="s">
        <v>83</v>
      </c>
      <c r="D16" s="23" t="s">
        <v>84</v>
      </c>
      <c r="E16" s="17" t="s">
        <v>33</v>
      </c>
      <c r="F16" s="19" t="s">
        <v>85</v>
      </c>
      <c r="G16" s="18" t="s">
        <v>17</v>
      </c>
    </row>
    <row r="17" spans="1:7" x14ac:dyDescent="0.25">
      <c r="A17" s="14">
        <v>16</v>
      </c>
      <c r="B17" s="15" t="s">
        <v>86</v>
      </c>
      <c r="C17" s="16" t="s">
        <v>87</v>
      </c>
      <c r="D17" s="17" t="s">
        <v>88</v>
      </c>
      <c r="E17" s="17" t="s">
        <v>33</v>
      </c>
      <c r="F17" s="19" t="s">
        <v>89</v>
      </c>
      <c r="G17" s="18" t="s">
        <v>17</v>
      </c>
    </row>
    <row r="18" spans="1:7" x14ac:dyDescent="0.25">
      <c r="A18" s="14">
        <v>17</v>
      </c>
      <c r="B18" s="15" t="s">
        <v>90</v>
      </c>
      <c r="C18" s="16" t="s">
        <v>91</v>
      </c>
      <c r="D18" s="17" t="s">
        <v>92</v>
      </c>
      <c r="E18" s="17" t="s">
        <v>33</v>
      </c>
      <c r="F18" s="19" t="s">
        <v>93</v>
      </c>
      <c r="G18" s="18" t="s">
        <v>17</v>
      </c>
    </row>
    <row r="19" spans="1:7" x14ac:dyDescent="0.25">
      <c r="A19" s="14">
        <v>18</v>
      </c>
      <c r="B19" s="15" t="s">
        <v>56</v>
      </c>
      <c r="C19" s="16" t="s">
        <v>94</v>
      </c>
      <c r="D19" s="17" t="s">
        <v>95</v>
      </c>
      <c r="E19" s="17" t="s">
        <v>96</v>
      </c>
      <c r="F19" s="19" t="s">
        <v>97</v>
      </c>
      <c r="G19" s="18" t="s">
        <v>17</v>
      </c>
    </row>
    <row r="20" spans="1:7" x14ac:dyDescent="0.25">
      <c r="A20" s="14">
        <v>19</v>
      </c>
      <c r="B20" s="15" t="s">
        <v>98</v>
      </c>
      <c r="C20" s="16" t="s">
        <v>99</v>
      </c>
      <c r="D20" s="17" t="s">
        <v>100</v>
      </c>
      <c r="E20" s="17" t="s">
        <v>33</v>
      </c>
      <c r="F20" s="19" t="s">
        <v>101</v>
      </c>
      <c r="G20" s="18" t="s">
        <v>14</v>
      </c>
    </row>
    <row r="21" spans="1:7" x14ac:dyDescent="0.25">
      <c r="A21" s="14">
        <v>20</v>
      </c>
      <c r="B21" s="15" t="s">
        <v>102</v>
      </c>
      <c r="C21" s="16" t="s">
        <v>103</v>
      </c>
      <c r="D21" s="17" t="s">
        <v>104</v>
      </c>
      <c r="E21" s="17" t="s">
        <v>33</v>
      </c>
      <c r="F21" s="22" t="s">
        <v>105</v>
      </c>
      <c r="G21" s="18" t="s">
        <v>4</v>
      </c>
    </row>
    <row r="22" spans="1:7" x14ac:dyDescent="0.25">
      <c r="A22" s="14">
        <v>21</v>
      </c>
      <c r="B22" s="15" t="s">
        <v>106</v>
      </c>
      <c r="C22" s="16" t="s">
        <v>107</v>
      </c>
      <c r="D22" s="17" t="s">
        <v>104</v>
      </c>
      <c r="E22" s="17" t="s">
        <v>33</v>
      </c>
      <c r="F22" s="22" t="s">
        <v>108</v>
      </c>
      <c r="G22" s="18" t="s">
        <v>4</v>
      </c>
    </row>
    <row r="23" spans="1:7" x14ac:dyDescent="0.25">
      <c r="A23" s="14">
        <v>22</v>
      </c>
      <c r="B23" s="15" t="s">
        <v>109</v>
      </c>
      <c r="C23" s="16" t="s">
        <v>110</v>
      </c>
      <c r="D23" s="17" t="s">
        <v>111</v>
      </c>
      <c r="E23" s="17" t="s">
        <v>33</v>
      </c>
      <c r="F23" s="19" t="s">
        <v>112</v>
      </c>
      <c r="G23" s="18" t="s">
        <v>17</v>
      </c>
    </row>
    <row r="24" spans="1:7" ht="31.5" x14ac:dyDescent="0.25">
      <c r="A24" s="14">
        <v>23</v>
      </c>
      <c r="B24" s="15" t="s">
        <v>113</v>
      </c>
      <c r="C24" s="16" t="s">
        <v>114</v>
      </c>
      <c r="D24" s="17" t="s">
        <v>115</v>
      </c>
      <c r="E24" s="17" t="s">
        <v>116</v>
      </c>
      <c r="F24" s="20" t="s">
        <v>117</v>
      </c>
      <c r="G24" s="18" t="s">
        <v>17</v>
      </c>
    </row>
    <row r="25" spans="1:7" x14ac:dyDescent="0.25">
      <c r="A25" s="14">
        <v>24</v>
      </c>
      <c r="B25" s="15" t="s">
        <v>118</v>
      </c>
      <c r="C25" s="16" t="s">
        <v>119</v>
      </c>
      <c r="D25" s="17" t="s">
        <v>120</v>
      </c>
      <c r="E25" s="17" t="s">
        <v>33</v>
      </c>
      <c r="F25" s="22" t="s">
        <v>121</v>
      </c>
      <c r="G25" s="18" t="s">
        <v>10</v>
      </c>
    </row>
    <row r="26" spans="1:7" ht="27.75" customHeight="1" x14ac:dyDescent="0.25">
      <c r="A26" s="14">
        <v>25</v>
      </c>
      <c r="B26" s="15" t="s">
        <v>122</v>
      </c>
      <c r="C26" s="16" t="s">
        <v>123</v>
      </c>
      <c r="D26" s="17" t="s">
        <v>124</v>
      </c>
      <c r="E26" s="17" t="s">
        <v>33</v>
      </c>
      <c r="F26" s="22" t="s">
        <v>125</v>
      </c>
      <c r="G26" s="18" t="s">
        <v>10</v>
      </c>
    </row>
    <row r="27" spans="1:7" x14ac:dyDescent="0.25">
      <c r="A27" s="14">
        <v>26</v>
      </c>
      <c r="B27" s="15" t="s">
        <v>126</v>
      </c>
      <c r="C27" s="16" t="s">
        <v>127</v>
      </c>
      <c r="D27" s="17" t="s">
        <v>128</v>
      </c>
      <c r="E27" s="17" t="s">
        <v>116</v>
      </c>
      <c r="F27" s="19" t="s">
        <v>129</v>
      </c>
      <c r="G27" s="18" t="s">
        <v>17</v>
      </c>
    </row>
    <row r="28" spans="1:7" x14ac:dyDescent="0.25">
      <c r="A28" s="14">
        <v>27</v>
      </c>
      <c r="B28" s="15" t="s">
        <v>71</v>
      </c>
      <c r="C28" s="16" t="s">
        <v>130</v>
      </c>
      <c r="D28" s="17" t="s">
        <v>131</v>
      </c>
      <c r="E28" s="17" t="s">
        <v>33</v>
      </c>
      <c r="F28" s="22" t="s">
        <v>132</v>
      </c>
      <c r="G28" s="18" t="s">
        <v>3</v>
      </c>
    </row>
    <row r="29" spans="1:7" x14ac:dyDescent="0.25">
      <c r="A29" s="14">
        <v>28</v>
      </c>
      <c r="B29" s="15" t="s">
        <v>133</v>
      </c>
      <c r="C29" s="16" t="s">
        <v>134</v>
      </c>
      <c r="D29" s="17" t="s">
        <v>135</v>
      </c>
      <c r="E29" s="17" t="s">
        <v>33</v>
      </c>
      <c r="F29" s="19" t="s">
        <v>136</v>
      </c>
      <c r="G29" s="18" t="s">
        <v>21</v>
      </c>
    </row>
    <row r="30" spans="1:7" x14ac:dyDescent="0.25">
      <c r="A30" s="14">
        <v>29</v>
      </c>
      <c r="B30" s="15" t="s">
        <v>137</v>
      </c>
      <c r="C30" s="16" t="s">
        <v>138</v>
      </c>
      <c r="D30" s="17" t="s">
        <v>139</v>
      </c>
      <c r="E30" s="17" t="s">
        <v>33</v>
      </c>
      <c r="F30" s="19" t="s">
        <v>140</v>
      </c>
      <c r="G30" s="18" t="s">
        <v>14</v>
      </c>
    </row>
    <row r="31" spans="1:7" x14ac:dyDescent="0.25">
      <c r="A31" s="14">
        <v>30</v>
      </c>
      <c r="B31" s="15" t="s">
        <v>141</v>
      </c>
      <c r="C31" s="16" t="s">
        <v>142</v>
      </c>
      <c r="D31" s="17" t="s">
        <v>143</v>
      </c>
      <c r="E31" s="17" t="s">
        <v>33</v>
      </c>
      <c r="F31" s="19" t="s">
        <v>144</v>
      </c>
      <c r="G31" s="18" t="s">
        <v>17</v>
      </c>
    </row>
    <row r="32" spans="1:7" ht="31.5" x14ac:dyDescent="0.25">
      <c r="A32" s="14">
        <v>31</v>
      </c>
      <c r="B32" s="15" t="s">
        <v>145</v>
      </c>
      <c r="C32" s="16" t="s">
        <v>146</v>
      </c>
      <c r="D32" s="17" t="s">
        <v>147</v>
      </c>
      <c r="E32" s="17" t="s">
        <v>33</v>
      </c>
      <c r="F32" s="20" t="s">
        <v>148</v>
      </c>
      <c r="G32" s="18" t="s">
        <v>17</v>
      </c>
    </row>
    <row r="33" spans="1:7" ht="31.5" x14ac:dyDescent="0.25">
      <c r="A33" s="14">
        <v>32</v>
      </c>
      <c r="B33" s="15" t="s">
        <v>149</v>
      </c>
      <c r="C33" s="16" t="s">
        <v>150</v>
      </c>
      <c r="D33" s="17" t="s">
        <v>151</v>
      </c>
      <c r="E33" s="17" t="s">
        <v>33</v>
      </c>
      <c r="F33" s="19" t="s">
        <v>152</v>
      </c>
      <c r="G33" s="18" t="s">
        <v>14</v>
      </c>
    </row>
    <row r="34" spans="1:7" x14ac:dyDescent="0.25">
      <c r="A34" s="14">
        <v>33</v>
      </c>
      <c r="B34" s="15" t="s">
        <v>106</v>
      </c>
      <c r="C34" s="16" t="s">
        <v>153</v>
      </c>
      <c r="D34" s="17" t="s">
        <v>154</v>
      </c>
      <c r="E34" s="17" t="s">
        <v>33</v>
      </c>
      <c r="F34" s="19" t="s">
        <v>155</v>
      </c>
      <c r="G34" s="18" t="s">
        <v>17</v>
      </c>
    </row>
    <row r="35" spans="1:7" ht="31.5" x14ac:dyDescent="0.25">
      <c r="A35" s="14">
        <v>34</v>
      </c>
      <c r="B35" s="15" t="s">
        <v>156</v>
      </c>
      <c r="C35" s="16" t="s">
        <v>157</v>
      </c>
      <c r="D35" s="17" t="s">
        <v>158</v>
      </c>
      <c r="E35" s="17" t="s">
        <v>59</v>
      </c>
      <c r="F35" s="22" t="s">
        <v>159</v>
      </c>
      <c r="G35" s="18" t="s">
        <v>17</v>
      </c>
    </row>
    <row r="36" spans="1:7" x14ac:dyDescent="0.25">
      <c r="A36" s="14">
        <v>35</v>
      </c>
      <c r="B36" s="15" t="s">
        <v>56</v>
      </c>
      <c r="C36" s="16" t="s">
        <v>160</v>
      </c>
      <c r="D36" s="17" t="s">
        <v>161</v>
      </c>
      <c r="E36" s="17" t="s">
        <v>33</v>
      </c>
      <c r="F36" s="22" t="s">
        <v>162</v>
      </c>
      <c r="G36" s="18" t="s">
        <v>10</v>
      </c>
    </row>
    <row r="37" spans="1:7" x14ac:dyDescent="0.25">
      <c r="A37" s="14">
        <v>36</v>
      </c>
      <c r="B37" s="15" t="s">
        <v>122</v>
      </c>
      <c r="C37" s="16" t="s">
        <v>163</v>
      </c>
      <c r="D37" s="17" t="s">
        <v>164</v>
      </c>
      <c r="E37" s="17" t="s">
        <v>33</v>
      </c>
      <c r="F37" s="22" t="s">
        <v>165</v>
      </c>
      <c r="G37" s="18" t="s">
        <v>4</v>
      </c>
    </row>
    <row r="38" spans="1:7" x14ac:dyDescent="0.25">
      <c r="A38" s="14">
        <v>37</v>
      </c>
      <c r="B38" s="15" t="s">
        <v>166</v>
      </c>
      <c r="C38" s="16" t="s">
        <v>167</v>
      </c>
      <c r="D38" s="17" t="s">
        <v>168</v>
      </c>
      <c r="E38" s="17" t="s">
        <v>33</v>
      </c>
      <c r="F38" s="19" t="s">
        <v>169</v>
      </c>
      <c r="G38" s="18" t="s">
        <v>14</v>
      </c>
    </row>
    <row r="39" spans="1:7" x14ac:dyDescent="0.25">
      <c r="A39" s="14">
        <v>38</v>
      </c>
      <c r="B39" s="15" t="s">
        <v>145</v>
      </c>
      <c r="C39" s="16" t="s">
        <v>170</v>
      </c>
      <c r="D39" s="17" t="s">
        <v>171</v>
      </c>
      <c r="E39" s="17" t="s">
        <v>33</v>
      </c>
      <c r="F39" s="22" t="s">
        <v>172</v>
      </c>
      <c r="G39" s="18" t="s">
        <v>3</v>
      </c>
    </row>
    <row r="40" spans="1:7" x14ac:dyDescent="0.25">
      <c r="A40" s="14">
        <v>39</v>
      </c>
      <c r="B40" s="15" t="s">
        <v>145</v>
      </c>
      <c r="C40" s="16" t="s">
        <v>173</v>
      </c>
      <c r="D40" s="17" t="s">
        <v>174</v>
      </c>
      <c r="E40" s="17" t="s">
        <v>33</v>
      </c>
      <c r="F40" s="22" t="s">
        <v>175</v>
      </c>
      <c r="G40" s="18" t="s">
        <v>17</v>
      </c>
    </row>
    <row r="41" spans="1:7" x14ac:dyDescent="0.25">
      <c r="A41" s="14">
        <v>40</v>
      </c>
      <c r="B41" s="15" t="s">
        <v>176</v>
      </c>
      <c r="C41" s="16" t="s">
        <v>177</v>
      </c>
      <c r="D41" s="17" t="s">
        <v>178</v>
      </c>
      <c r="E41" s="17" t="s">
        <v>33</v>
      </c>
      <c r="F41" s="19" t="s">
        <v>179</v>
      </c>
      <c r="G41" s="18" t="s">
        <v>17</v>
      </c>
    </row>
    <row r="42" spans="1:7" x14ac:dyDescent="0.25">
      <c r="A42" s="14">
        <v>41</v>
      </c>
      <c r="B42" s="15" t="s">
        <v>56</v>
      </c>
      <c r="C42" s="16" t="s">
        <v>180</v>
      </c>
      <c r="D42" s="17" t="s">
        <v>181</v>
      </c>
      <c r="E42" s="17" t="s">
        <v>33</v>
      </c>
      <c r="F42" s="19" t="s">
        <v>182</v>
      </c>
      <c r="G42" s="18" t="s">
        <v>17</v>
      </c>
    </row>
    <row r="43" spans="1:7" x14ac:dyDescent="0.25">
      <c r="A43" s="14">
        <v>42</v>
      </c>
      <c r="B43" s="15" t="s">
        <v>183</v>
      </c>
      <c r="C43" s="16" t="s">
        <v>184</v>
      </c>
      <c r="D43" s="17" t="s">
        <v>185</v>
      </c>
      <c r="E43" s="17" t="s">
        <v>33</v>
      </c>
      <c r="F43" s="19" t="s">
        <v>186</v>
      </c>
      <c r="G43" s="18" t="s">
        <v>12</v>
      </c>
    </row>
    <row r="44" spans="1:7" x14ac:dyDescent="0.25">
      <c r="A44" s="14">
        <v>43</v>
      </c>
      <c r="B44" s="15" t="s">
        <v>106</v>
      </c>
      <c r="C44" s="16" t="s">
        <v>187</v>
      </c>
      <c r="D44" s="17" t="s">
        <v>188</v>
      </c>
      <c r="E44" s="17" t="s">
        <v>33</v>
      </c>
      <c r="F44" s="19" t="s">
        <v>189</v>
      </c>
      <c r="G44" s="18" t="s">
        <v>17</v>
      </c>
    </row>
    <row r="45" spans="1:7" ht="31.5" x14ac:dyDescent="0.25">
      <c r="A45" s="14">
        <v>44</v>
      </c>
      <c r="B45" s="15" t="s">
        <v>106</v>
      </c>
      <c r="C45" s="16" t="s">
        <v>190</v>
      </c>
      <c r="D45" s="17" t="s">
        <v>191</v>
      </c>
      <c r="E45" s="17" t="s">
        <v>33</v>
      </c>
      <c r="F45" s="19" t="s">
        <v>192</v>
      </c>
      <c r="G45" s="18" t="s">
        <v>17</v>
      </c>
    </row>
    <row r="46" spans="1:7" ht="31.5" x14ac:dyDescent="0.25">
      <c r="A46" s="14">
        <v>45</v>
      </c>
      <c r="B46" s="15" t="s">
        <v>106</v>
      </c>
      <c r="C46" s="16" t="s">
        <v>193</v>
      </c>
      <c r="D46" s="17" t="s">
        <v>194</v>
      </c>
      <c r="E46" s="17" t="s">
        <v>33</v>
      </c>
      <c r="F46" s="19" t="s">
        <v>195</v>
      </c>
      <c r="G46" s="18" t="s">
        <v>17</v>
      </c>
    </row>
    <row r="47" spans="1:7" x14ac:dyDescent="0.25">
      <c r="A47" s="14">
        <v>46</v>
      </c>
      <c r="B47" s="15" t="s">
        <v>176</v>
      </c>
      <c r="C47" s="16" t="s">
        <v>196</v>
      </c>
      <c r="D47" s="17" t="s">
        <v>197</v>
      </c>
      <c r="E47" s="17" t="s">
        <v>33</v>
      </c>
      <c r="F47" s="19" t="s">
        <v>198</v>
      </c>
      <c r="G47" s="18" t="s">
        <v>17</v>
      </c>
    </row>
    <row r="48" spans="1:7" x14ac:dyDescent="0.25">
      <c r="A48" s="14">
        <v>47</v>
      </c>
      <c r="B48" s="15" t="s">
        <v>199</v>
      </c>
      <c r="C48" s="16" t="s">
        <v>200</v>
      </c>
      <c r="D48" s="17" t="s">
        <v>201</v>
      </c>
      <c r="E48" s="17" t="s">
        <v>33</v>
      </c>
      <c r="F48" s="22" t="s">
        <v>202</v>
      </c>
      <c r="G48" s="18" t="s">
        <v>20</v>
      </c>
    </row>
    <row r="49" spans="1:7" x14ac:dyDescent="0.25">
      <c r="A49" s="14">
        <v>48</v>
      </c>
      <c r="B49" s="15" t="s">
        <v>203</v>
      </c>
      <c r="C49" s="16" t="s">
        <v>204</v>
      </c>
      <c r="D49" s="17" t="s">
        <v>205</v>
      </c>
      <c r="E49" s="17" t="s">
        <v>33</v>
      </c>
      <c r="F49" s="19" t="s">
        <v>206</v>
      </c>
      <c r="G49" s="18" t="s">
        <v>17</v>
      </c>
    </row>
    <row r="50" spans="1:7" x14ac:dyDescent="0.25">
      <c r="A50" s="14">
        <v>49</v>
      </c>
      <c r="B50" s="15" t="s">
        <v>207</v>
      </c>
      <c r="C50" s="16" t="s">
        <v>208</v>
      </c>
      <c r="D50" s="17" t="s">
        <v>209</v>
      </c>
      <c r="E50" s="17" t="s">
        <v>33</v>
      </c>
      <c r="F50" s="22" t="s">
        <v>210</v>
      </c>
      <c r="G50" s="18" t="s">
        <v>10</v>
      </c>
    </row>
    <row r="51" spans="1:7" x14ac:dyDescent="0.25">
      <c r="A51" s="14">
        <v>50</v>
      </c>
      <c r="B51" s="15" t="s">
        <v>145</v>
      </c>
      <c r="C51" s="16" t="s">
        <v>211</v>
      </c>
      <c r="D51" s="17" t="s">
        <v>209</v>
      </c>
      <c r="E51" s="17" t="s">
        <v>33</v>
      </c>
      <c r="F51" s="22" t="s">
        <v>212</v>
      </c>
      <c r="G51" s="18" t="s">
        <v>10</v>
      </c>
    </row>
    <row r="52" spans="1:7" x14ac:dyDescent="0.25">
      <c r="A52" s="14">
        <v>51</v>
      </c>
      <c r="B52" s="15" t="s">
        <v>145</v>
      </c>
      <c r="C52" s="16" t="s">
        <v>213</v>
      </c>
      <c r="D52" s="17" t="s">
        <v>214</v>
      </c>
      <c r="E52" s="17" t="s">
        <v>33</v>
      </c>
      <c r="F52" s="19" t="s">
        <v>215</v>
      </c>
      <c r="G52" s="18" t="s">
        <v>17</v>
      </c>
    </row>
    <row r="53" spans="1:7" x14ac:dyDescent="0.25">
      <c r="A53" s="14">
        <v>52</v>
      </c>
      <c r="B53" s="15" t="s">
        <v>216</v>
      </c>
      <c r="C53" s="16" t="s">
        <v>217</v>
      </c>
      <c r="D53" s="17" t="s">
        <v>218</v>
      </c>
      <c r="E53" s="17" t="s">
        <v>96</v>
      </c>
      <c r="F53" s="22" t="s">
        <v>219</v>
      </c>
      <c r="G53" s="18" t="s">
        <v>15</v>
      </c>
    </row>
    <row r="54" spans="1:7" x14ac:dyDescent="0.25">
      <c r="A54" s="14">
        <v>53</v>
      </c>
      <c r="B54" s="15" t="s">
        <v>56</v>
      </c>
      <c r="C54" s="16" t="s">
        <v>220</v>
      </c>
      <c r="D54" s="17" t="s">
        <v>221</v>
      </c>
      <c r="E54" s="17" t="s">
        <v>33</v>
      </c>
      <c r="F54" s="22" t="s">
        <v>222</v>
      </c>
      <c r="G54" s="18" t="s">
        <v>9</v>
      </c>
    </row>
    <row r="55" spans="1:7" ht="31.5" x14ac:dyDescent="0.25">
      <c r="A55" s="14">
        <v>54</v>
      </c>
      <c r="B55" s="15" t="s">
        <v>109</v>
      </c>
      <c r="C55" s="16" t="s">
        <v>223</v>
      </c>
      <c r="D55" s="17" t="s">
        <v>224</v>
      </c>
      <c r="E55" s="17" t="s">
        <v>116</v>
      </c>
      <c r="F55" s="20" t="s">
        <v>225</v>
      </c>
      <c r="G55" s="18" t="s">
        <v>13</v>
      </c>
    </row>
    <row r="56" spans="1:7" x14ac:dyDescent="0.25">
      <c r="A56" s="14">
        <v>55</v>
      </c>
      <c r="B56" s="15" t="s">
        <v>226</v>
      </c>
      <c r="C56" s="16" t="s">
        <v>227</v>
      </c>
      <c r="D56" s="17" t="s">
        <v>228</v>
      </c>
      <c r="E56" s="17" t="s">
        <v>33</v>
      </c>
      <c r="F56" s="19" t="s">
        <v>229</v>
      </c>
      <c r="G56" s="18" t="s">
        <v>17</v>
      </c>
    </row>
    <row r="57" spans="1:7" x14ac:dyDescent="0.25">
      <c r="A57" s="14">
        <v>56</v>
      </c>
      <c r="B57" s="15" t="s">
        <v>230</v>
      </c>
      <c r="C57" s="16" t="s">
        <v>231</v>
      </c>
      <c r="D57" s="17" t="s">
        <v>232</v>
      </c>
      <c r="E57" s="17" t="s">
        <v>33</v>
      </c>
      <c r="F57" s="22" t="s">
        <v>233</v>
      </c>
      <c r="G57" s="18" t="s">
        <v>10</v>
      </c>
    </row>
    <row r="58" spans="1:7" x14ac:dyDescent="0.25">
      <c r="A58" s="14">
        <v>57</v>
      </c>
      <c r="B58" s="15" t="s">
        <v>176</v>
      </c>
      <c r="C58" s="16" t="s">
        <v>234</v>
      </c>
      <c r="D58" s="17" t="s">
        <v>235</v>
      </c>
      <c r="E58" s="17" t="s">
        <v>33</v>
      </c>
      <c r="F58" s="19" t="s">
        <v>236</v>
      </c>
      <c r="G58" s="18" t="s">
        <v>17</v>
      </c>
    </row>
    <row r="59" spans="1:7" x14ac:dyDescent="0.25">
      <c r="A59" s="14">
        <v>58</v>
      </c>
      <c r="B59" s="15" t="s">
        <v>237</v>
      </c>
      <c r="C59" s="16" t="s">
        <v>238</v>
      </c>
      <c r="D59" s="17" t="s">
        <v>239</v>
      </c>
      <c r="E59" s="17" t="s">
        <v>33</v>
      </c>
      <c r="F59" s="22" t="s">
        <v>240</v>
      </c>
      <c r="G59" s="18" t="s">
        <v>8</v>
      </c>
    </row>
    <row r="60" spans="1:7" x14ac:dyDescent="0.25">
      <c r="A60" s="14">
        <v>59</v>
      </c>
      <c r="B60" s="15" t="s">
        <v>241</v>
      </c>
      <c r="C60" s="16" t="s">
        <v>242</v>
      </c>
      <c r="D60" s="17" t="s">
        <v>243</v>
      </c>
      <c r="E60" s="17" t="s">
        <v>33</v>
      </c>
      <c r="F60" s="22" t="s">
        <v>244</v>
      </c>
      <c r="G60" s="18" t="s">
        <v>10</v>
      </c>
    </row>
    <row r="61" spans="1:7" x14ac:dyDescent="0.25">
      <c r="A61" s="14">
        <v>60</v>
      </c>
      <c r="B61" s="15" t="s">
        <v>245</v>
      </c>
      <c r="C61" s="16" t="s">
        <v>246</v>
      </c>
      <c r="D61" s="17" t="s">
        <v>247</v>
      </c>
      <c r="E61" s="17" t="s">
        <v>116</v>
      </c>
      <c r="F61" s="22" t="s">
        <v>248</v>
      </c>
      <c r="G61" s="18" t="s">
        <v>17</v>
      </c>
    </row>
    <row r="62" spans="1:7" ht="20.45" customHeight="1" x14ac:dyDescent="0.25">
      <c r="A62" s="14">
        <v>61</v>
      </c>
      <c r="B62" s="15" t="s">
        <v>249</v>
      </c>
      <c r="C62" s="16" t="s">
        <v>250</v>
      </c>
      <c r="D62" s="17" t="s">
        <v>251</v>
      </c>
      <c r="E62" s="17" t="s">
        <v>33</v>
      </c>
      <c r="F62" s="22" t="s">
        <v>252</v>
      </c>
      <c r="G62" s="18" t="s">
        <v>4</v>
      </c>
    </row>
    <row r="63" spans="1:7" ht="22.7" customHeight="1" x14ac:dyDescent="0.25">
      <c r="A63" s="14">
        <v>62</v>
      </c>
      <c r="B63" s="15" t="s">
        <v>253</v>
      </c>
      <c r="C63" s="16" t="s">
        <v>254</v>
      </c>
      <c r="D63" s="17" t="s">
        <v>255</v>
      </c>
      <c r="E63" s="17" t="s">
        <v>33</v>
      </c>
      <c r="F63" s="19" t="s">
        <v>256</v>
      </c>
      <c r="G63" s="18" t="s">
        <v>10</v>
      </c>
    </row>
    <row r="64" spans="1:7" ht="19.7" customHeight="1" x14ac:dyDescent="0.25">
      <c r="A64" s="14">
        <v>63</v>
      </c>
      <c r="B64" s="15" t="s">
        <v>245</v>
      </c>
      <c r="C64" s="16" t="s">
        <v>257</v>
      </c>
      <c r="D64" s="17" t="s">
        <v>258</v>
      </c>
      <c r="E64" s="17" t="s">
        <v>116</v>
      </c>
      <c r="F64" s="19" t="s">
        <v>259</v>
      </c>
      <c r="G64" s="18" t="s">
        <v>17</v>
      </c>
    </row>
    <row r="65" spans="1:7" x14ac:dyDescent="0.25">
      <c r="A65" s="14">
        <v>64</v>
      </c>
      <c r="B65" s="15" t="s">
        <v>106</v>
      </c>
      <c r="C65" s="16" t="s">
        <v>260</v>
      </c>
      <c r="D65" s="17" t="s">
        <v>261</v>
      </c>
      <c r="E65" s="17" t="s">
        <v>33</v>
      </c>
      <c r="F65" s="19" t="s">
        <v>262</v>
      </c>
      <c r="G65" s="18" t="s">
        <v>14</v>
      </c>
    </row>
    <row r="66" spans="1:7" x14ac:dyDescent="0.25">
      <c r="A66" s="14">
        <v>65</v>
      </c>
      <c r="B66" s="15" t="s">
        <v>263</v>
      </c>
      <c r="C66" s="16" t="s">
        <v>264</v>
      </c>
      <c r="D66" s="17" t="s">
        <v>265</v>
      </c>
      <c r="E66" s="17" t="s">
        <v>33</v>
      </c>
      <c r="F66" s="19" t="s">
        <v>266</v>
      </c>
      <c r="G66" s="18" t="s">
        <v>14</v>
      </c>
    </row>
    <row r="67" spans="1:7" x14ac:dyDescent="0.25">
      <c r="A67" s="14">
        <v>66</v>
      </c>
      <c r="B67" s="15" t="s">
        <v>267</v>
      </c>
      <c r="C67" s="16" t="s">
        <v>268</v>
      </c>
      <c r="D67" s="17" t="s">
        <v>269</v>
      </c>
      <c r="E67" s="17" t="s">
        <v>33</v>
      </c>
      <c r="F67" s="22" t="s">
        <v>270</v>
      </c>
      <c r="G67" s="18" t="s">
        <v>17</v>
      </c>
    </row>
    <row r="68" spans="1:7" x14ac:dyDescent="0.25">
      <c r="A68" s="14">
        <v>67</v>
      </c>
      <c r="B68" s="15" t="s">
        <v>245</v>
      </c>
      <c r="C68" s="16" t="s">
        <v>271</v>
      </c>
      <c r="D68" s="17" t="s">
        <v>272</v>
      </c>
      <c r="E68" s="17" t="s">
        <v>116</v>
      </c>
      <c r="F68" s="22" t="s">
        <v>273</v>
      </c>
      <c r="G68" s="18" t="s">
        <v>17</v>
      </c>
    </row>
    <row r="69" spans="1:7" x14ac:dyDescent="0.25">
      <c r="A69" s="14">
        <v>68</v>
      </c>
      <c r="B69" s="15" t="s">
        <v>274</v>
      </c>
      <c r="C69" s="16" t="s">
        <v>275</v>
      </c>
      <c r="D69" s="17" t="s">
        <v>276</v>
      </c>
      <c r="E69" s="17" t="s">
        <v>33</v>
      </c>
      <c r="F69" s="22" t="s">
        <v>277</v>
      </c>
      <c r="G69" s="18" t="s">
        <v>4</v>
      </c>
    </row>
    <row r="70" spans="1:7" x14ac:dyDescent="0.25">
      <c r="A70" s="14">
        <v>69</v>
      </c>
      <c r="B70" s="15" t="s">
        <v>253</v>
      </c>
      <c r="C70" s="16" t="s">
        <v>278</v>
      </c>
      <c r="D70" s="17" t="s">
        <v>279</v>
      </c>
      <c r="E70" s="17" t="s">
        <v>33</v>
      </c>
      <c r="F70" s="19" t="s">
        <v>280</v>
      </c>
      <c r="G70" s="18" t="s">
        <v>21</v>
      </c>
    </row>
    <row r="71" spans="1:7" x14ac:dyDescent="0.25">
      <c r="A71" s="14">
        <v>70</v>
      </c>
      <c r="B71" s="15" t="s">
        <v>56</v>
      </c>
      <c r="C71" s="16" t="s">
        <v>281</v>
      </c>
      <c r="D71" s="17" t="s">
        <v>282</v>
      </c>
      <c r="E71" s="17" t="s">
        <v>96</v>
      </c>
      <c r="F71" s="22" t="s">
        <v>283</v>
      </c>
      <c r="G71" s="18" t="s">
        <v>10</v>
      </c>
    </row>
    <row r="72" spans="1:7" x14ac:dyDescent="0.25">
      <c r="A72" s="14">
        <v>71</v>
      </c>
      <c r="B72" s="15" t="s">
        <v>284</v>
      </c>
      <c r="C72" s="16" t="s">
        <v>285</v>
      </c>
      <c r="D72" s="17" t="s">
        <v>286</v>
      </c>
      <c r="E72" s="17" t="s">
        <v>33</v>
      </c>
      <c r="F72" s="22" t="s">
        <v>287</v>
      </c>
      <c r="G72" s="18" t="s">
        <v>15</v>
      </c>
    </row>
    <row r="73" spans="1:7" x14ac:dyDescent="0.25">
      <c r="A73" s="14">
        <v>72</v>
      </c>
      <c r="B73" s="15" t="s">
        <v>75</v>
      </c>
      <c r="C73" s="16" t="s">
        <v>288</v>
      </c>
      <c r="D73" s="17" t="s">
        <v>289</v>
      </c>
      <c r="E73" s="17" t="s">
        <v>33</v>
      </c>
      <c r="F73" s="22" t="s">
        <v>290</v>
      </c>
      <c r="G73" s="18" t="s">
        <v>10</v>
      </c>
    </row>
    <row r="74" spans="1:7" x14ac:dyDescent="0.25">
      <c r="A74" s="14">
        <v>73</v>
      </c>
      <c r="B74" s="15" t="s">
        <v>291</v>
      </c>
      <c r="C74" s="16" t="s">
        <v>292</v>
      </c>
      <c r="D74" s="17" t="s">
        <v>293</v>
      </c>
      <c r="E74" s="17" t="s">
        <v>33</v>
      </c>
      <c r="F74" s="19" t="s">
        <v>294</v>
      </c>
      <c r="G74" s="18" t="s">
        <v>9</v>
      </c>
    </row>
    <row r="75" spans="1:7" ht="31.5" x14ac:dyDescent="0.25">
      <c r="A75" s="14">
        <v>74</v>
      </c>
      <c r="B75" s="15" t="s">
        <v>295</v>
      </c>
      <c r="C75" s="16" t="s">
        <v>296</v>
      </c>
      <c r="D75" s="17" t="s">
        <v>297</v>
      </c>
      <c r="E75" s="17" t="s">
        <v>33</v>
      </c>
      <c r="F75" s="24" t="s">
        <v>298</v>
      </c>
      <c r="G75" s="18" t="s">
        <v>17</v>
      </c>
    </row>
    <row r="76" spans="1:7" x14ac:dyDescent="0.25">
      <c r="A76" s="14">
        <v>75</v>
      </c>
      <c r="B76" s="15" t="s">
        <v>299</v>
      </c>
      <c r="C76" s="16" t="s">
        <v>300</v>
      </c>
      <c r="D76" s="17" t="s">
        <v>301</v>
      </c>
      <c r="E76" s="17" t="s">
        <v>33</v>
      </c>
      <c r="F76" s="19" t="s">
        <v>302</v>
      </c>
      <c r="G76" s="18" t="s">
        <v>17</v>
      </c>
    </row>
    <row r="77" spans="1:7" x14ac:dyDescent="0.25">
      <c r="A77" s="14">
        <v>76</v>
      </c>
      <c r="B77" s="15" t="s">
        <v>303</v>
      </c>
      <c r="C77" s="16" t="s">
        <v>304</v>
      </c>
      <c r="D77" s="17" t="s">
        <v>305</v>
      </c>
      <c r="E77" s="17" t="s">
        <v>33</v>
      </c>
      <c r="F77" s="19" t="s">
        <v>306</v>
      </c>
      <c r="G77" s="18" t="s">
        <v>17</v>
      </c>
    </row>
    <row r="78" spans="1:7" ht="31.5" x14ac:dyDescent="0.25">
      <c r="A78" s="14">
        <v>77</v>
      </c>
      <c r="B78" s="15" t="s">
        <v>299</v>
      </c>
      <c r="C78" s="16" t="s">
        <v>307</v>
      </c>
      <c r="D78" s="17" t="s">
        <v>308</v>
      </c>
      <c r="E78" s="17" t="s">
        <v>33</v>
      </c>
      <c r="F78" s="22" t="s">
        <v>309</v>
      </c>
      <c r="G78" s="18" t="s">
        <v>10</v>
      </c>
    </row>
    <row r="79" spans="1:7" ht="31.5" x14ac:dyDescent="0.25">
      <c r="A79" s="14">
        <v>78</v>
      </c>
      <c r="B79" s="15" t="s">
        <v>145</v>
      </c>
      <c r="C79" s="16" t="s">
        <v>310</v>
      </c>
      <c r="D79" s="17" t="s">
        <v>311</v>
      </c>
      <c r="E79" s="17" t="s">
        <v>33</v>
      </c>
      <c r="F79" s="19" t="s">
        <v>312</v>
      </c>
      <c r="G79" s="18" t="s">
        <v>17</v>
      </c>
    </row>
    <row r="80" spans="1:7" x14ac:dyDescent="0.25">
      <c r="A80" s="14">
        <v>79</v>
      </c>
      <c r="B80" s="15" t="s">
        <v>313</v>
      </c>
      <c r="C80" s="16" t="s">
        <v>314</v>
      </c>
      <c r="D80" s="17" t="s">
        <v>315</v>
      </c>
      <c r="E80" s="17" t="s">
        <v>33</v>
      </c>
      <c r="F80" s="22" t="s">
        <v>316</v>
      </c>
      <c r="G80" s="18" t="s">
        <v>2</v>
      </c>
    </row>
    <row r="81" spans="1:7" ht="31.5" x14ac:dyDescent="0.25">
      <c r="A81" s="14">
        <v>80</v>
      </c>
      <c r="B81" s="15" t="s">
        <v>317</v>
      </c>
      <c r="C81" s="16" t="s">
        <v>318</v>
      </c>
      <c r="D81" s="17" t="s">
        <v>319</v>
      </c>
      <c r="E81" s="17" t="s">
        <v>33</v>
      </c>
      <c r="F81" s="19" t="s">
        <v>320</v>
      </c>
      <c r="G81" s="18" t="s">
        <v>17</v>
      </c>
    </row>
    <row r="82" spans="1:7" ht="31.5" x14ac:dyDescent="0.25">
      <c r="A82" s="14">
        <v>81</v>
      </c>
      <c r="B82" s="15" t="s">
        <v>321</v>
      </c>
      <c r="C82" s="16" t="s">
        <v>322</v>
      </c>
      <c r="D82" s="17" t="s">
        <v>323</v>
      </c>
      <c r="E82" s="17" t="s">
        <v>33</v>
      </c>
      <c r="F82" s="19" t="s">
        <v>324</v>
      </c>
      <c r="G82" s="18" t="s">
        <v>17</v>
      </c>
    </row>
    <row r="83" spans="1:7" x14ac:dyDescent="0.25">
      <c r="A83" s="14">
        <v>82</v>
      </c>
      <c r="B83" s="15" t="s">
        <v>325</v>
      </c>
      <c r="C83" s="16" t="s">
        <v>326</v>
      </c>
      <c r="D83" s="17" t="s">
        <v>327</v>
      </c>
      <c r="E83" s="17" t="s">
        <v>33</v>
      </c>
      <c r="F83" s="22" t="s">
        <v>328</v>
      </c>
      <c r="G83" s="18" t="s">
        <v>17</v>
      </c>
    </row>
    <row r="84" spans="1:7" x14ac:dyDescent="0.25">
      <c r="A84" s="14">
        <v>83</v>
      </c>
      <c r="B84" s="15" t="s">
        <v>329</v>
      </c>
      <c r="C84" s="16" t="s">
        <v>330</v>
      </c>
      <c r="D84" s="17" t="s">
        <v>331</v>
      </c>
      <c r="E84" s="17" t="s">
        <v>33</v>
      </c>
      <c r="F84" s="19" t="s">
        <v>332</v>
      </c>
      <c r="G84" s="18" t="s">
        <v>14</v>
      </c>
    </row>
    <row r="85" spans="1:7" x14ac:dyDescent="0.25">
      <c r="A85" s="14">
        <v>84</v>
      </c>
      <c r="B85" s="15" t="s">
        <v>333</v>
      </c>
      <c r="C85" s="16" t="s">
        <v>334</v>
      </c>
      <c r="D85" s="17" t="s">
        <v>335</v>
      </c>
      <c r="E85" s="17" t="s">
        <v>33</v>
      </c>
      <c r="F85" s="19" t="s">
        <v>336</v>
      </c>
      <c r="G85" s="18" t="s">
        <v>14</v>
      </c>
    </row>
    <row r="86" spans="1:7" x14ac:dyDescent="0.25">
      <c r="A86" s="14">
        <v>85</v>
      </c>
      <c r="B86" s="15" t="s">
        <v>237</v>
      </c>
      <c r="C86" s="16" t="s">
        <v>337</v>
      </c>
      <c r="D86" s="17" t="s">
        <v>338</v>
      </c>
      <c r="E86" s="17" t="s">
        <v>33</v>
      </c>
      <c r="F86" s="19" t="s">
        <v>339</v>
      </c>
      <c r="G86" s="18" t="s">
        <v>19</v>
      </c>
    </row>
    <row r="87" spans="1:7" x14ac:dyDescent="0.25">
      <c r="A87" s="14">
        <v>86</v>
      </c>
      <c r="B87" s="15" t="s">
        <v>340</v>
      </c>
      <c r="C87" s="16" t="s">
        <v>341</v>
      </c>
      <c r="D87" s="17" t="s">
        <v>342</v>
      </c>
      <c r="E87" s="17" t="s">
        <v>33</v>
      </c>
      <c r="F87" s="19" t="s">
        <v>343</v>
      </c>
      <c r="G87" s="18" t="s">
        <v>14</v>
      </c>
    </row>
    <row r="88" spans="1:7" x14ac:dyDescent="0.25">
      <c r="A88" s="14">
        <v>87</v>
      </c>
      <c r="B88" s="15" t="s">
        <v>344</v>
      </c>
      <c r="C88" s="16" t="s">
        <v>345</v>
      </c>
      <c r="D88" s="17" t="s">
        <v>346</v>
      </c>
      <c r="E88" s="17" t="s">
        <v>96</v>
      </c>
      <c r="F88" s="22" t="s">
        <v>347</v>
      </c>
      <c r="G88" s="18" t="s">
        <v>10</v>
      </c>
    </row>
    <row r="89" spans="1:7" x14ac:dyDescent="0.25">
      <c r="A89" s="14">
        <v>88</v>
      </c>
      <c r="B89" s="15" t="s">
        <v>344</v>
      </c>
      <c r="C89" s="16" t="s">
        <v>348</v>
      </c>
      <c r="D89" s="17" t="s">
        <v>349</v>
      </c>
      <c r="E89" s="17" t="s">
        <v>96</v>
      </c>
      <c r="F89" s="22" t="s">
        <v>350</v>
      </c>
      <c r="G89" s="18" t="s">
        <v>21</v>
      </c>
    </row>
    <row r="90" spans="1:7" x14ac:dyDescent="0.25">
      <c r="A90" s="14">
        <v>89</v>
      </c>
      <c r="B90" s="15" t="s">
        <v>344</v>
      </c>
      <c r="C90" s="16" t="s">
        <v>351</v>
      </c>
      <c r="D90" s="17" t="s">
        <v>289</v>
      </c>
      <c r="E90" s="17" t="s">
        <v>96</v>
      </c>
      <c r="F90" s="22" t="s">
        <v>352</v>
      </c>
      <c r="G90" s="18" t="s">
        <v>10</v>
      </c>
    </row>
    <row r="91" spans="1:7" x14ac:dyDescent="0.25">
      <c r="A91" s="14">
        <v>90</v>
      </c>
      <c r="B91" s="15" t="s">
        <v>344</v>
      </c>
      <c r="C91" s="16" t="s">
        <v>353</v>
      </c>
      <c r="D91" s="17" t="s">
        <v>289</v>
      </c>
      <c r="E91" s="17" t="s">
        <v>96</v>
      </c>
      <c r="F91" s="22" t="s">
        <v>354</v>
      </c>
      <c r="G91" s="18" t="s">
        <v>10</v>
      </c>
    </row>
    <row r="92" spans="1:7" x14ac:dyDescent="0.25">
      <c r="A92" s="14">
        <v>91</v>
      </c>
      <c r="B92" s="15" t="s">
        <v>344</v>
      </c>
      <c r="C92" s="16" t="s">
        <v>355</v>
      </c>
      <c r="D92" s="17" t="s">
        <v>356</v>
      </c>
      <c r="E92" s="17" t="s">
        <v>96</v>
      </c>
      <c r="F92" s="22" t="s">
        <v>357</v>
      </c>
      <c r="G92" s="18" t="s">
        <v>10</v>
      </c>
    </row>
    <row r="93" spans="1:7" x14ac:dyDescent="0.25">
      <c r="A93" s="14">
        <v>92</v>
      </c>
      <c r="B93" s="15" t="s">
        <v>109</v>
      </c>
      <c r="C93" s="16" t="s">
        <v>358</v>
      </c>
      <c r="D93" s="17" t="s">
        <v>359</v>
      </c>
      <c r="E93" s="17" t="s">
        <v>116</v>
      </c>
      <c r="F93" s="22" t="s">
        <v>360</v>
      </c>
      <c r="G93" s="18" t="s">
        <v>17</v>
      </c>
    </row>
    <row r="94" spans="1:7" x14ac:dyDescent="0.25">
      <c r="A94" s="14">
        <v>93</v>
      </c>
      <c r="B94" s="15" t="s">
        <v>361</v>
      </c>
      <c r="C94" s="16" t="s">
        <v>362</v>
      </c>
      <c r="D94" s="17" t="s">
        <v>363</v>
      </c>
      <c r="E94" s="17" t="s">
        <v>33</v>
      </c>
      <c r="F94" s="22" t="s">
        <v>364</v>
      </c>
      <c r="G94" s="18" t="s">
        <v>17</v>
      </c>
    </row>
    <row r="95" spans="1:7" x14ac:dyDescent="0.25">
      <c r="A95" s="14">
        <v>94</v>
      </c>
      <c r="B95" s="15" t="s">
        <v>344</v>
      </c>
      <c r="C95" s="16" t="s">
        <v>365</v>
      </c>
      <c r="D95" s="17" t="s">
        <v>366</v>
      </c>
      <c r="E95" s="17" t="s">
        <v>33</v>
      </c>
      <c r="F95" s="19" t="s">
        <v>367</v>
      </c>
      <c r="G95" s="18" t="s">
        <v>5</v>
      </c>
    </row>
    <row r="96" spans="1:7" x14ac:dyDescent="0.25">
      <c r="A96" s="14">
        <v>95</v>
      </c>
      <c r="B96" s="15" t="s">
        <v>368</v>
      </c>
      <c r="C96" s="16" t="s">
        <v>369</v>
      </c>
      <c r="D96" s="17" t="s">
        <v>370</v>
      </c>
      <c r="E96" s="17" t="s">
        <v>33</v>
      </c>
      <c r="F96" s="22" t="s">
        <v>371</v>
      </c>
      <c r="G96" s="18" t="s">
        <v>17</v>
      </c>
    </row>
    <row r="97" spans="1:7" x14ac:dyDescent="0.25">
      <c r="A97" s="14">
        <v>96</v>
      </c>
      <c r="B97" s="15" t="s">
        <v>372</v>
      </c>
      <c r="C97" s="16" t="s">
        <v>373</v>
      </c>
      <c r="D97" s="17" t="s">
        <v>374</v>
      </c>
      <c r="E97" s="17" t="s">
        <v>33</v>
      </c>
      <c r="F97" s="19" t="s">
        <v>375</v>
      </c>
      <c r="G97" s="18" t="s">
        <v>17</v>
      </c>
    </row>
    <row r="98" spans="1:7" x14ac:dyDescent="0.25">
      <c r="A98" s="14">
        <v>97</v>
      </c>
      <c r="B98" s="15" t="s">
        <v>106</v>
      </c>
      <c r="C98" s="16" t="s">
        <v>376</v>
      </c>
      <c r="D98" s="17" t="s">
        <v>377</v>
      </c>
      <c r="E98" s="17" t="s">
        <v>33</v>
      </c>
      <c r="F98" s="19" t="s">
        <v>378</v>
      </c>
      <c r="G98" s="18" t="s">
        <v>17</v>
      </c>
    </row>
    <row r="99" spans="1:7" x14ac:dyDescent="0.25">
      <c r="A99" s="14">
        <v>98</v>
      </c>
      <c r="B99" s="15" t="s">
        <v>379</v>
      </c>
      <c r="C99" s="16" t="s">
        <v>380</v>
      </c>
      <c r="D99" s="17" t="s">
        <v>381</v>
      </c>
      <c r="E99" s="17" t="s">
        <v>33</v>
      </c>
      <c r="F99" s="19" t="s">
        <v>382</v>
      </c>
      <c r="G99" s="18" t="s">
        <v>14</v>
      </c>
    </row>
    <row r="100" spans="1:7" ht="31.5" x14ac:dyDescent="0.25">
      <c r="A100" s="14">
        <v>99</v>
      </c>
      <c r="B100" s="15" t="s">
        <v>383</v>
      </c>
      <c r="C100" s="16" t="s">
        <v>384</v>
      </c>
      <c r="D100" s="17" t="s">
        <v>385</v>
      </c>
      <c r="E100" s="17" t="s">
        <v>33</v>
      </c>
      <c r="F100" s="22" t="s">
        <v>386</v>
      </c>
      <c r="G100" s="18" t="s">
        <v>16</v>
      </c>
    </row>
    <row r="101" spans="1:7" x14ac:dyDescent="0.25">
      <c r="A101" s="14">
        <v>100</v>
      </c>
      <c r="B101" s="15" t="s">
        <v>387</v>
      </c>
      <c r="C101" s="16" t="s">
        <v>388</v>
      </c>
      <c r="D101" s="17" t="s">
        <v>389</v>
      </c>
      <c r="E101" s="17" t="s">
        <v>96</v>
      </c>
      <c r="F101" s="19" t="s">
        <v>390</v>
      </c>
      <c r="G101" s="18" t="s">
        <v>17</v>
      </c>
    </row>
    <row r="102" spans="1:7" x14ac:dyDescent="0.25">
      <c r="A102" s="14">
        <v>101</v>
      </c>
      <c r="B102" s="15" t="s">
        <v>391</v>
      </c>
      <c r="C102" s="16" t="s">
        <v>392</v>
      </c>
      <c r="D102" s="17" t="s">
        <v>393</v>
      </c>
      <c r="E102" s="17" t="s">
        <v>33</v>
      </c>
      <c r="F102" s="22" t="s">
        <v>394</v>
      </c>
      <c r="G102" s="18" t="s">
        <v>9</v>
      </c>
    </row>
    <row r="103" spans="1:7" x14ac:dyDescent="0.25">
      <c r="A103" s="14">
        <v>102</v>
      </c>
      <c r="B103" s="15" t="s">
        <v>395</v>
      </c>
      <c r="C103" s="16" t="s">
        <v>396</v>
      </c>
      <c r="D103" s="17" t="s">
        <v>397</v>
      </c>
      <c r="E103" s="17" t="s">
        <v>33</v>
      </c>
      <c r="F103" s="22" t="s">
        <v>398</v>
      </c>
      <c r="G103" s="18" t="s">
        <v>2</v>
      </c>
    </row>
    <row r="104" spans="1:7" x14ac:dyDescent="0.25">
      <c r="A104" s="14">
        <v>103</v>
      </c>
      <c r="B104" s="15" t="s">
        <v>399</v>
      </c>
      <c r="C104" s="16" t="s">
        <v>400</v>
      </c>
      <c r="D104" s="23" t="s">
        <v>401</v>
      </c>
      <c r="E104" s="17" t="s">
        <v>33</v>
      </c>
      <c r="F104" s="19" t="s">
        <v>402</v>
      </c>
      <c r="G104" s="18" t="s">
        <v>17</v>
      </c>
    </row>
    <row r="105" spans="1:7" x14ac:dyDescent="0.25">
      <c r="A105" s="14">
        <v>104</v>
      </c>
      <c r="B105" s="15" t="s">
        <v>403</v>
      </c>
      <c r="C105" s="16" t="s">
        <v>404</v>
      </c>
      <c r="D105" s="17" t="s">
        <v>405</v>
      </c>
      <c r="E105" s="17" t="s">
        <v>33</v>
      </c>
      <c r="F105" s="19" t="s">
        <v>406</v>
      </c>
      <c r="G105" s="18" t="s">
        <v>17</v>
      </c>
    </row>
    <row r="106" spans="1:7" ht="31.5" x14ac:dyDescent="0.25">
      <c r="A106" s="14">
        <v>105</v>
      </c>
      <c r="B106" s="15" t="s">
        <v>407</v>
      </c>
      <c r="C106" s="16" t="s">
        <v>408</v>
      </c>
      <c r="D106" s="17" t="s">
        <v>409</v>
      </c>
      <c r="E106" s="17" t="s">
        <v>33</v>
      </c>
      <c r="F106" s="19" t="s">
        <v>410</v>
      </c>
      <c r="G106" s="18" t="s">
        <v>17</v>
      </c>
    </row>
    <row r="107" spans="1:7" x14ac:dyDescent="0.25">
      <c r="A107" s="14">
        <v>106</v>
      </c>
      <c r="B107" s="15" t="s">
        <v>106</v>
      </c>
      <c r="C107" s="16" t="s">
        <v>411</v>
      </c>
      <c r="D107" s="17" t="s">
        <v>412</v>
      </c>
      <c r="E107" s="17" t="s">
        <v>33</v>
      </c>
      <c r="F107" s="22" t="s">
        <v>413</v>
      </c>
      <c r="G107" s="18" t="s">
        <v>5</v>
      </c>
    </row>
    <row r="108" spans="1:7" x14ac:dyDescent="0.25">
      <c r="A108" s="14">
        <v>107</v>
      </c>
      <c r="B108" s="15" t="s">
        <v>414</v>
      </c>
      <c r="C108" s="16" t="s">
        <v>415</v>
      </c>
      <c r="D108" s="17" t="s">
        <v>416</v>
      </c>
      <c r="E108" s="17" t="s">
        <v>33</v>
      </c>
      <c r="F108" s="19" t="s">
        <v>417</v>
      </c>
      <c r="G108" s="18" t="s">
        <v>17</v>
      </c>
    </row>
    <row r="109" spans="1:7" x14ac:dyDescent="0.25">
      <c r="A109" s="14">
        <v>108</v>
      </c>
      <c r="B109" s="15" t="s">
        <v>418</v>
      </c>
      <c r="C109" s="16" t="s">
        <v>419</v>
      </c>
      <c r="D109" s="17" t="s">
        <v>420</v>
      </c>
      <c r="E109" s="17" t="s">
        <v>116</v>
      </c>
      <c r="F109" s="19" t="s">
        <v>421</v>
      </c>
      <c r="G109" s="18" t="s">
        <v>14</v>
      </c>
    </row>
    <row r="110" spans="1:7" x14ac:dyDescent="0.25">
      <c r="A110" s="14">
        <v>109</v>
      </c>
      <c r="B110" s="15" t="s">
        <v>344</v>
      </c>
      <c r="C110" s="16" t="s">
        <v>422</v>
      </c>
      <c r="D110" s="17" t="s">
        <v>423</v>
      </c>
      <c r="E110" s="17" t="s">
        <v>96</v>
      </c>
      <c r="F110" s="19" t="s">
        <v>424</v>
      </c>
      <c r="G110" s="18" t="s">
        <v>17</v>
      </c>
    </row>
    <row r="111" spans="1:7" x14ac:dyDescent="0.25">
      <c r="A111" s="14">
        <v>110</v>
      </c>
      <c r="B111" s="15" t="s">
        <v>425</v>
      </c>
      <c r="C111" s="16" t="s">
        <v>426</v>
      </c>
      <c r="D111" s="17" t="s">
        <v>427</v>
      </c>
      <c r="E111" s="17" t="s">
        <v>96</v>
      </c>
      <c r="F111" s="19" t="s">
        <v>428</v>
      </c>
      <c r="G111" s="18" t="s">
        <v>17</v>
      </c>
    </row>
    <row r="112" spans="1:7" x14ac:dyDescent="0.25">
      <c r="A112" s="14">
        <v>111</v>
      </c>
      <c r="B112" s="15" t="s">
        <v>109</v>
      </c>
      <c r="C112" s="16" t="s">
        <v>429</v>
      </c>
      <c r="D112" s="17" t="s">
        <v>430</v>
      </c>
      <c r="E112" s="17" t="s">
        <v>116</v>
      </c>
      <c r="F112" s="22" t="s">
        <v>431</v>
      </c>
      <c r="G112" s="18" t="s">
        <v>20</v>
      </c>
    </row>
    <row r="113" spans="1:7" x14ac:dyDescent="0.25">
      <c r="A113" s="14">
        <v>112</v>
      </c>
      <c r="B113" s="15" t="s">
        <v>361</v>
      </c>
      <c r="C113" s="16" t="s">
        <v>432</v>
      </c>
      <c r="D113" s="17" t="s">
        <v>433</v>
      </c>
      <c r="E113" s="17" t="s">
        <v>33</v>
      </c>
      <c r="F113" s="22" t="s">
        <v>434</v>
      </c>
      <c r="G113" s="18" t="s">
        <v>15</v>
      </c>
    </row>
    <row r="114" spans="1:7" x14ac:dyDescent="0.25">
      <c r="A114" s="14">
        <v>113</v>
      </c>
      <c r="B114" s="15" t="s">
        <v>361</v>
      </c>
      <c r="C114" s="16" t="s">
        <v>435</v>
      </c>
      <c r="D114" s="17" t="s">
        <v>436</v>
      </c>
      <c r="E114" s="17" t="s">
        <v>33</v>
      </c>
      <c r="F114" s="22" t="s">
        <v>437</v>
      </c>
      <c r="G114" s="18" t="s">
        <v>17</v>
      </c>
    </row>
    <row r="115" spans="1:7" ht="31.5" x14ac:dyDescent="0.25">
      <c r="A115" s="14">
        <v>114</v>
      </c>
      <c r="B115" s="15" t="s">
        <v>344</v>
      </c>
      <c r="C115" s="16" t="s">
        <v>438</v>
      </c>
      <c r="D115" s="17" t="s">
        <v>439</v>
      </c>
      <c r="E115" s="17" t="s">
        <v>96</v>
      </c>
      <c r="F115" s="19" t="s">
        <v>440</v>
      </c>
      <c r="G115" s="18" t="s">
        <v>9</v>
      </c>
    </row>
    <row r="116" spans="1:7" x14ac:dyDescent="0.25">
      <c r="A116" s="14">
        <v>115</v>
      </c>
      <c r="B116" s="15" t="s">
        <v>441</v>
      </c>
      <c r="C116" s="16" t="s">
        <v>296</v>
      </c>
      <c r="D116" s="17" t="s">
        <v>442</v>
      </c>
      <c r="E116" s="17" t="s">
        <v>33</v>
      </c>
      <c r="F116" s="19" t="s">
        <v>443</v>
      </c>
      <c r="G116" s="18" t="s">
        <v>17</v>
      </c>
    </row>
    <row r="117" spans="1:7" ht="31.5" x14ac:dyDescent="0.25">
      <c r="A117" s="14">
        <v>116</v>
      </c>
      <c r="B117" s="15" t="s">
        <v>444</v>
      </c>
      <c r="C117" s="16" t="s">
        <v>445</v>
      </c>
      <c r="D117" s="17" t="s">
        <v>446</v>
      </c>
      <c r="E117" s="17" t="s">
        <v>33</v>
      </c>
      <c r="F117" s="19" t="s">
        <v>447</v>
      </c>
      <c r="G117" s="18" t="s">
        <v>17</v>
      </c>
    </row>
    <row r="118" spans="1:7" x14ac:dyDescent="0.25">
      <c r="A118" s="14">
        <v>117</v>
      </c>
      <c r="B118" s="15" t="s">
        <v>448</v>
      </c>
      <c r="C118" s="16" t="s">
        <v>449</v>
      </c>
      <c r="D118" s="17" t="s">
        <v>450</v>
      </c>
      <c r="E118" s="17" t="s">
        <v>33</v>
      </c>
      <c r="F118" s="19" t="s">
        <v>451</v>
      </c>
      <c r="G118" s="18" t="s">
        <v>17</v>
      </c>
    </row>
    <row r="119" spans="1:7" x14ac:dyDescent="0.25">
      <c r="A119" s="14">
        <v>118</v>
      </c>
      <c r="B119" s="15" t="s">
        <v>245</v>
      </c>
      <c r="C119" s="16" t="s">
        <v>452</v>
      </c>
      <c r="D119" s="17" t="s">
        <v>453</v>
      </c>
      <c r="E119" s="17" t="s">
        <v>116</v>
      </c>
      <c r="F119" s="19" t="s">
        <v>454</v>
      </c>
      <c r="G119" s="18" t="s">
        <v>17</v>
      </c>
    </row>
    <row r="120" spans="1:7" x14ac:dyDescent="0.25">
      <c r="A120" s="14">
        <v>119</v>
      </c>
      <c r="B120" s="15" t="s">
        <v>106</v>
      </c>
      <c r="C120" s="16" t="s">
        <v>310</v>
      </c>
      <c r="D120" s="17" t="s">
        <v>455</v>
      </c>
      <c r="E120" s="17" t="s">
        <v>33</v>
      </c>
      <c r="F120" s="19" t="s">
        <v>456</v>
      </c>
      <c r="G120" s="18" t="s">
        <v>21</v>
      </c>
    </row>
    <row r="121" spans="1:7" x14ac:dyDescent="0.25">
      <c r="A121" s="14">
        <v>120</v>
      </c>
      <c r="B121" s="15" t="s">
        <v>106</v>
      </c>
      <c r="C121" s="16" t="s">
        <v>457</v>
      </c>
      <c r="D121" s="17" t="s">
        <v>458</v>
      </c>
      <c r="E121" s="17" t="s">
        <v>33</v>
      </c>
      <c r="F121" s="19" t="s">
        <v>459</v>
      </c>
      <c r="G121" s="18" t="s">
        <v>16</v>
      </c>
    </row>
    <row r="122" spans="1:7" x14ac:dyDescent="0.25">
      <c r="A122" s="14">
        <v>121</v>
      </c>
      <c r="B122" s="15" t="s">
        <v>460</v>
      </c>
      <c r="C122" s="16" t="s">
        <v>461</v>
      </c>
      <c r="D122" s="17" t="s">
        <v>462</v>
      </c>
      <c r="E122" s="17" t="s">
        <v>33</v>
      </c>
      <c r="F122" s="22" t="s">
        <v>463</v>
      </c>
      <c r="G122" s="18" t="s">
        <v>17</v>
      </c>
    </row>
    <row r="123" spans="1:7" x14ac:dyDescent="0.25">
      <c r="A123" s="14">
        <v>122</v>
      </c>
      <c r="B123" s="15" t="s">
        <v>464</v>
      </c>
      <c r="C123" s="16" t="s">
        <v>465</v>
      </c>
      <c r="D123" s="17" t="s">
        <v>466</v>
      </c>
      <c r="E123" s="17" t="s">
        <v>33</v>
      </c>
      <c r="F123" s="19" t="s">
        <v>467</v>
      </c>
      <c r="G123" s="18" t="s">
        <v>14</v>
      </c>
    </row>
    <row r="124" spans="1:7" x14ac:dyDescent="0.25">
      <c r="A124" s="14">
        <v>123</v>
      </c>
      <c r="B124" s="15" t="s">
        <v>109</v>
      </c>
      <c r="C124" s="16" t="s">
        <v>468</v>
      </c>
      <c r="D124" s="17" t="s">
        <v>469</v>
      </c>
      <c r="E124" s="17" t="s">
        <v>116</v>
      </c>
      <c r="F124" s="19" t="s">
        <v>470</v>
      </c>
      <c r="G124" s="18" t="s">
        <v>17</v>
      </c>
    </row>
    <row r="125" spans="1:7" x14ac:dyDescent="0.25">
      <c r="A125" s="14">
        <v>124</v>
      </c>
      <c r="B125" s="15" t="s">
        <v>471</v>
      </c>
      <c r="C125" s="16" t="s">
        <v>472</v>
      </c>
      <c r="D125" s="17" t="s">
        <v>473</v>
      </c>
      <c r="E125" s="17" t="s">
        <v>33</v>
      </c>
      <c r="F125" s="22" t="s">
        <v>474</v>
      </c>
      <c r="G125" s="18" t="s">
        <v>17</v>
      </c>
    </row>
    <row r="126" spans="1:7" x14ac:dyDescent="0.25">
      <c r="A126" s="14">
        <v>125</v>
      </c>
      <c r="B126" s="15" t="s">
        <v>106</v>
      </c>
      <c r="C126" s="16" t="s">
        <v>475</v>
      </c>
      <c r="D126" s="17" t="s">
        <v>476</v>
      </c>
      <c r="E126" s="17" t="s">
        <v>33</v>
      </c>
      <c r="F126" s="19" t="s">
        <v>477</v>
      </c>
      <c r="G126" s="18" t="s">
        <v>8</v>
      </c>
    </row>
    <row r="127" spans="1:7" x14ac:dyDescent="0.25">
      <c r="A127" s="14">
        <v>126</v>
      </c>
      <c r="B127" s="15" t="s">
        <v>478</v>
      </c>
      <c r="C127" s="16" t="s">
        <v>479</v>
      </c>
      <c r="D127" s="17" t="s">
        <v>480</v>
      </c>
      <c r="E127" s="17" t="s">
        <v>33</v>
      </c>
      <c r="F127" s="19" t="s">
        <v>481</v>
      </c>
      <c r="G127" s="18" t="s">
        <v>21</v>
      </c>
    </row>
    <row r="128" spans="1:7" x14ac:dyDescent="0.25">
      <c r="A128" s="14">
        <v>127</v>
      </c>
      <c r="B128" s="15" t="s">
        <v>145</v>
      </c>
      <c r="C128" s="16" t="s">
        <v>482</v>
      </c>
      <c r="D128" s="17" t="s">
        <v>483</v>
      </c>
      <c r="E128" s="17" t="s">
        <v>33</v>
      </c>
      <c r="F128" s="19" t="s">
        <v>484</v>
      </c>
      <c r="G128" s="18" t="s">
        <v>17</v>
      </c>
    </row>
    <row r="129" spans="1:7" x14ac:dyDescent="0.25">
      <c r="A129" s="14">
        <v>128</v>
      </c>
      <c r="B129" s="15" t="s">
        <v>299</v>
      </c>
      <c r="C129" s="16" t="s">
        <v>485</v>
      </c>
      <c r="D129" s="17" t="s">
        <v>486</v>
      </c>
      <c r="E129" s="17" t="s">
        <v>33</v>
      </c>
      <c r="F129" s="19" t="s">
        <v>487</v>
      </c>
      <c r="G129" s="18" t="s">
        <v>14</v>
      </c>
    </row>
    <row r="130" spans="1:7" x14ac:dyDescent="0.25">
      <c r="A130" s="14">
        <v>129</v>
      </c>
      <c r="B130" s="15" t="s">
        <v>488</v>
      </c>
      <c r="C130" s="16" t="s">
        <v>489</v>
      </c>
      <c r="D130" s="17" t="s">
        <v>490</v>
      </c>
      <c r="E130" s="17" t="s">
        <v>116</v>
      </c>
      <c r="F130" s="19" t="s">
        <v>491</v>
      </c>
      <c r="G130" s="18" t="s">
        <v>14</v>
      </c>
    </row>
    <row r="131" spans="1:7" x14ac:dyDescent="0.25">
      <c r="A131" s="14">
        <v>130</v>
      </c>
      <c r="B131" s="15" t="s">
        <v>492</v>
      </c>
      <c r="C131" s="16" t="s">
        <v>493</v>
      </c>
      <c r="D131" s="17" t="s">
        <v>494</v>
      </c>
      <c r="E131" s="17" t="s">
        <v>116</v>
      </c>
      <c r="F131" s="19" t="s">
        <v>495</v>
      </c>
      <c r="G131" s="18" t="s">
        <v>14</v>
      </c>
    </row>
    <row r="132" spans="1:7" x14ac:dyDescent="0.25">
      <c r="A132" s="14">
        <v>131</v>
      </c>
      <c r="B132" s="15" t="s">
        <v>344</v>
      </c>
      <c r="C132" s="16" t="s">
        <v>496</v>
      </c>
      <c r="D132" s="17" t="s">
        <v>497</v>
      </c>
      <c r="E132" s="17" t="s">
        <v>96</v>
      </c>
      <c r="F132" s="19" t="s">
        <v>498</v>
      </c>
      <c r="G132" s="18" t="s">
        <v>9</v>
      </c>
    </row>
    <row r="133" spans="1:7" x14ac:dyDescent="0.25">
      <c r="A133" s="14">
        <v>132</v>
      </c>
      <c r="B133" s="15" t="s">
        <v>344</v>
      </c>
      <c r="C133" s="16" t="s">
        <v>499</v>
      </c>
      <c r="D133" s="17" t="s">
        <v>500</v>
      </c>
      <c r="E133" s="17" t="s">
        <v>96</v>
      </c>
      <c r="F133" s="19" t="s">
        <v>501</v>
      </c>
      <c r="G133" s="18" t="s">
        <v>9</v>
      </c>
    </row>
    <row r="134" spans="1:7" x14ac:dyDescent="0.25">
      <c r="A134" s="14">
        <v>133</v>
      </c>
      <c r="B134" s="15" t="s">
        <v>502</v>
      </c>
      <c r="C134" s="16" t="s">
        <v>503</v>
      </c>
      <c r="D134" s="17" t="s">
        <v>504</v>
      </c>
      <c r="E134" s="17" t="s">
        <v>33</v>
      </c>
      <c r="F134" s="19" t="s">
        <v>505</v>
      </c>
      <c r="G134" s="18" t="s">
        <v>8</v>
      </c>
    </row>
    <row r="135" spans="1:7" x14ac:dyDescent="0.25">
      <c r="A135" s="14">
        <v>134</v>
      </c>
      <c r="B135" s="15" t="s">
        <v>245</v>
      </c>
      <c r="C135" s="16" t="s">
        <v>506</v>
      </c>
      <c r="D135" s="17" t="s">
        <v>507</v>
      </c>
      <c r="E135" s="17" t="s">
        <v>116</v>
      </c>
      <c r="F135" s="19" t="s">
        <v>508</v>
      </c>
      <c r="G135" s="18" t="s">
        <v>17</v>
      </c>
    </row>
    <row r="136" spans="1:7" x14ac:dyDescent="0.25">
      <c r="A136" s="14">
        <v>135</v>
      </c>
      <c r="B136" s="15" t="s">
        <v>509</v>
      </c>
      <c r="C136" s="16" t="s">
        <v>510</v>
      </c>
      <c r="D136" s="17" t="s">
        <v>511</v>
      </c>
      <c r="E136" s="17" t="s">
        <v>33</v>
      </c>
      <c r="F136" s="22" t="s">
        <v>512</v>
      </c>
      <c r="G136" s="18" t="s">
        <v>4</v>
      </c>
    </row>
    <row r="137" spans="1:7" x14ac:dyDescent="0.25">
      <c r="A137" s="14">
        <v>136</v>
      </c>
      <c r="B137" s="15" t="s">
        <v>284</v>
      </c>
      <c r="C137" s="16" t="s">
        <v>513</v>
      </c>
      <c r="D137" s="17" t="s">
        <v>514</v>
      </c>
      <c r="E137" s="17" t="s">
        <v>33</v>
      </c>
      <c r="F137" s="19" t="s">
        <v>515</v>
      </c>
      <c r="G137" s="18" t="s">
        <v>7</v>
      </c>
    </row>
    <row r="138" spans="1:7" x14ac:dyDescent="0.25">
      <c r="A138" s="14">
        <v>137</v>
      </c>
      <c r="B138" s="15" t="s">
        <v>71</v>
      </c>
      <c r="C138" s="16" t="s">
        <v>516</v>
      </c>
      <c r="D138" s="17" t="s">
        <v>517</v>
      </c>
      <c r="E138" s="17" t="s">
        <v>33</v>
      </c>
      <c r="F138" s="22" t="s">
        <v>518</v>
      </c>
      <c r="G138" s="18" t="s">
        <v>4</v>
      </c>
    </row>
    <row r="139" spans="1:7" ht="31.5" customHeight="1" x14ac:dyDescent="0.25">
      <c r="A139" s="14">
        <v>138</v>
      </c>
      <c r="B139" s="15" t="s">
        <v>106</v>
      </c>
      <c r="C139" s="16" t="s">
        <v>519</v>
      </c>
      <c r="D139" s="17" t="s">
        <v>520</v>
      </c>
      <c r="E139" s="17" t="s">
        <v>33</v>
      </c>
      <c r="F139" s="19" t="s">
        <v>521</v>
      </c>
      <c r="G139" s="18" t="s">
        <v>17</v>
      </c>
    </row>
    <row r="140" spans="1:7" x14ac:dyDescent="0.25">
      <c r="A140" s="14">
        <v>139</v>
      </c>
      <c r="B140" s="15" t="s">
        <v>522</v>
      </c>
      <c r="C140" s="16" t="s">
        <v>523</v>
      </c>
      <c r="D140" s="17" t="s">
        <v>524</v>
      </c>
      <c r="E140" s="17" t="s">
        <v>33</v>
      </c>
      <c r="F140" s="22" t="s">
        <v>525</v>
      </c>
      <c r="G140" s="18" t="s">
        <v>20</v>
      </c>
    </row>
    <row r="141" spans="1:7" x14ac:dyDescent="0.25">
      <c r="A141" s="14">
        <v>140</v>
      </c>
      <c r="B141" s="15" t="s">
        <v>361</v>
      </c>
      <c r="C141" s="16" t="s">
        <v>526</v>
      </c>
      <c r="D141" s="17" t="s">
        <v>527</v>
      </c>
      <c r="E141" s="17" t="s">
        <v>33</v>
      </c>
      <c r="F141" s="19" t="s">
        <v>528</v>
      </c>
      <c r="G141" s="18" t="s">
        <v>14</v>
      </c>
    </row>
    <row r="142" spans="1:7" x14ac:dyDescent="0.25">
      <c r="A142" s="14">
        <v>141</v>
      </c>
      <c r="B142" s="15" t="s">
        <v>361</v>
      </c>
      <c r="C142" s="16" t="s">
        <v>529</v>
      </c>
      <c r="D142" s="17" t="s">
        <v>530</v>
      </c>
      <c r="E142" s="17" t="s">
        <v>33</v>
      </c>
      <c r="F142" s="22" t="s">
        <v>531</v>
      </c>
      <c r="G142" s="18" t="s">
        <v>21</v>
      </c>
    </row>
    <row r="143" spans="1:7" x14ac:dyDescent="0.25">
      <c r="A143" s="14">
        <v>142</v>
      </c>
      <c r="B143" s="15" t="s">
        <v>56</v>
      </c>
      <c r="C143" s="16" t="s">
        <v>532</v>
      </c>
      <c r="D143" s="17" t="s">
        <v>533</v>
      </c>
      <c r="E143" s="17" t="s">
        <v>96</v>
      </c>
      <c r="F143" s="22" t="s">
        <v>534</v>
      </c>
      <c r="G143" s="18" t="s">
        <v>17</v>
      </c>
    </row>
    <row r="144" spans="1:7" x14ac:dyDescent="0.25">
      <c r="A144" s="14">
        <v>143</v>
      </c>
      <c r="B144" s="15" t="s">
        <v>56</v>
      </c>
      <c r="C144" s="16" t="s">
        <v>535</v>
      </c>
      <c r="D144" s="17" t="s">
        <v>536</v>
      </c>
      <c r="E144" s="17" t="s">
        <v>96</v>
      </c>
      <c r="F144" s="22" t="s">
        <v>537</v>
      </c>
      <c r="G144" s="18" t="s">
        <v>17</v>
      </c>
    </row>
    <row r="145" spans="1:7" x14ac:dyDescent="0.25">
      <c r="A145" s="14">
        <v>144</v>
      </c>
      <c r="B145" s="15" t="s">
        <v>56</v>
      </c>
      <c r="C145" s="16" t="s">
        <v>538</v>
      </c>
      <c r="D145" s="17" t="s">
        <v>539</v>
      </c>
      <c r="E145" s="17" t="s">
        <v>96</v>
      </c>
      <c r="F145" s="19" t="s">
        <v>540</v>
      </c>
      <c r="G145" s="18" t="s">
        <v>17</v>
      </c>
    </row>
    <row r="146" spans="1:7" x14ac:dyDescent="0.25">
      <c r="A146" s="14">
        <v>145</v>
      </c>
      <c r="B146" s="15" t="s">
        <v>56</v>
      </c>
      <c r="C146" s="16" t="s">
        <v>541</v>
      </c>
      <c r="D146" s="17" t="s">
        <v>542</v>
      </c>
      <c r="E146" s="17" t="s">
        <v>96</v>
      </c>
      <c r="F146" s="19" t="s">
        <v>543</v>
      </c>
      <c r="G146" s="18" t="s">
        <v>17</v>
      </c>
    </row>
    <row r="147" spans="1:7" x14ac:dyDescent="0.25">
      <c r="A147" s="14">
        <v>146</v>
      </c>
      <c r="B147" s="15" t="s">
        <v>544</v>
      </c>
      <c r="C147" s="16" t="s">
        <v>545</v>
      </c>
      <c r="D147" s="17" t="s">
        <v>546</v>
      </c>
      <c r="E147" s="17" t="s">
        <v>33</v>
      </c>
      <c r="F147" s="19" t="s">
        <v>547</v>
      </c>
      <c r="G147" s="18" t="s">
        <v>17</v>
      </c>
    </row>
    <row r="148" spans="1:7" x14ac:dyDescent="0.25">
      <c r="A148" s="14">
        <v>147</v>
      </c>
      <c r="B148" s="15" t="s">
        <v>361</v>
      </c>
      <c r="C148" s="16" t="s">
        <v>548</v>
      </c>
      <c r="D148" s="17" t="s">
        <v>185</v>
      </c>
      <c r="E148" s="17" t="s">
        <v>33</v>
      </c>
      <c r="F148" s="19" t="s">
        <v>549</v>
      </c>
      <c r="G148" s="18" t="s">
        <v>12</v>
      </c>
    </row>
    <row r="149" spans="1:7" x14ac:dyDescent="0.25">
      <c r="A149" s="14">
        <v>148</v>
      </c>
      <c r="B149" s="15" t="s">
        <v>106</v>
      </c>
      <c r="C149" s="16" t="s">
        <v>550</v>
      </c>
      <c r="D149" s="17" t="s">
        <v>551</v>
      </c>
      <c r="E149" s="17" t="s">
        <v>33</v>
      </c>
      <c r="F149" s="22" t="s">
        <v>552</v>
      </c>
      <c r="G149" s="18" t="s">
        <v>13</v>
      </c>
    </row>
    <row r="150" spans="1:7" x14ac:dyDescent="0.25">
      <c r="A150" s="14">
        <v>149</v>
      </c>
      <c r="B150" s="15" t="s">
        <v>56</v>
      </c>
      <c r="C150" s="16" t="s">
        <v>553</v>
      </c>
      <c r="D150" s="17" t="s">
        <v>554</v>
      </c>
      <c r="E150" s="17" t="s">
        <v>96</v>
      </c>
      <c r="F150" s="19" t="s">
        <v>555</v>
      </c>
      <c r="G150" s="18" t="s">
        <v>17</v>
      </c>
    </row>
    <row r="151" spans="1:7" x14ac:dyDescent="0.25">
      <c r="A151" s="14">
        <v>150</v>
      </c>
      <c r="B151" s="15" t="s">
        <v>56</v>
      </c>
      <c r="C151" s="16" t="s">
        <v>556</v>
      </c>
      <c r="D151" s="17" t="s">
        <v>557</v>
      </c>
      <c r="E151" s="17" t="s">
        <v>96</v>
      </c>
      <c r="F151" s="22" t="s">
        <v>558</v>
      </c>
      <c r="G151" s="18" t="s">
        <v>5</v>
      </c>
    </row>
    <row r="152" spans="1:7" x14ac:dyDescent="0.25">
      <c r="A152" s="14">
        <v>151</v>
      </c>
      <c r="B152" s="15" t="s">
        <v>559</v>
      </c>
      <c r="C152" s="16" t="s">
        <v>560</v>
      </c>
      <c r="D152" s="23" t="s">
        <v>561</v>
      </c>
      <c r="E152" s="17" t="s">
        <v>33</v>
      </c>
      <c r="F152" s="19" t="s">
        <v>562</v>
      </c>
      <c r="G152" s="18" t="s">
        <v>17</v>
      </c>
    </row>
    <row r="153" spans="1:7" x14ac:dyDescent="0.25">
      <c r="A153" s="14">
        <v>152</v>
      </c>
      <c r="B153" s="15" t="s">
        <v>563</v>
      </c>
      <c r="C153" s="16" t="s">
        <v>564</v>
      </c>
      <c r="D153" s="17" t="s">
        <v>565</v>
      </c>
      <c r="E153" s="17" t="s">
        <v>33</v>
      </c>
      <c r="F153" s="19" t="s">
        <v>566</v>
      </c>
      <c r="G153" s="18" t="s">
        <v>16</v>
      </c>
    </row>
    <row r="154" spans="1:7" x14ac:dyDescent="0.25">
      <c r="A154" s="14">
        <v>153</v>
      </c>
      <c r="B154" s="15" t="s">
        <v>344</v>
      </c>
      <c r="C154" s="16" t="s">
        <v>567</v>
      </c>
      <c r="D154" s="17" t="s">
        <v>568</v>
      </c>
      <c r="E154" s="17" t="s">
        <v>96</v>
      </c>
      <c r="F154" s="19" t="s">
        <v>569</v>
      </c>
      <c r="G154" s="18" t="s">
        <v>10</v>
      </c>
    </row>
    <row r="155" spans="1:7" ht="31.5" x14ac:dyDescent="0.25">
      <c r="A155" s="14">
        <v>154</v>
      </c>
      <c r="B155" s="15" t="s">
        <v>570</v>
      </c>
      <c r="C155" s="16" t="s">
        <v>571</v>
      </c>
      <c r="D155" s="17" t="s">
        <v>572</v>
      </c>
      <c r="E155" s="17" t="s">
        <v>33</v>
      </c>
      <c r="F155" s="19" t="s">
        <v>573</v>
      </c>
      <c r="G155" s="18" t="s">
        <v>17</v>
      </c>
    </row>
    <row r="156" spans="1:7" x14ac:dyDescent="0.25">
      <c r="A156" s="14">
        <v>155</v>
      </c>
      <c r="B156" s="15" t="s">
        <v>574</v>
      </c>
      <c r="C156" s="16" t="s">
        <v>575</v>
      </c>
      <c r="D156" s="17" t="s">
        <v>576</v>
      </c>
      <c r="E156" s="17" t="s">
        <v>33</v>
      </c>
      <c r="F156" s="19" t="s">
        <v>577</v>
      </c>
      <c r="G156" s="18" t="s">
        <v>14</v>
      </c>
    </row>
    <row r="157" spans="1:7" x14ac:dyDescent="0.25">
      <c r="A157" s="14">
        <v>156</v>
      </c>
      <c r="B157" s="15" t="s">
        <v>578</v>
      </c>
      <c r="C157" s="16" t="s">
        <v>579</v>
      </c>
      <c r="D157" s="17" t="s">
        <v>576</v>
      </c>
      <c r="E157" s="17" t="s">
        <v>33</v>
      </c>
      <c r="F157" s="19" t="s">
        <v>580</v>
      </c>
      <c r="G157" s="18" t="s">
        <v>14</v>
      </c>
    </row>
    <row r="158" spans="1:7" x14ac:dyDescent="0.25">
      <c r="A158" s="14">
        <v>157</v>
      </c>
      <c r="B158" s="15" t="s">
        <v>581</v>
      </c>
      <c r="C158" s="16" t="s">
        <v>582</v>
      </c>
      <c r="D158" s="17" t="s">
        <v>583</v>
      </c>
      <c r="E158" s="17" t="s">
        <v>33</v>
      </c>
      <c r="F158" s="19" t="s">
        <v>584</v>
      </c>
      <c r="G158" s="18" t="s">
        <v>17</v>
      </c>
    </row>
    <row r="159" spans="1:7" x14ac:dyDescent="0.25">
      <c r="A159" s="14">
        <v>158</v>
      </c>
      <c r="B159" s="15" t="s">
        <v>245</v>
      </c>
      <c r="C159" s="16" t="s">
        <v>585</v>
      </c>
      <c r="D159" s="17" t="s">
        <v>586</v>
      </c>
      <c r="E159" s="17" t="s">
        <v>116</v>
      </c>
      <c r="F159" s="19" t="s">
        <v>587</v>
      </c>
      <c r="G159" s="18" t="s">
        <v>9</v>
      </c>
    </row>
    <row r="160" spans="1:7" x14ac:dyDescent="0.25">
      <c r="A160" s="14">
        <v>159</v>
      </c>
      <c r="B160" s="15" t="s">
        <v>109</v>
      </c>
      <c r="C160" s="16" t="s">
        <v>588</v>
      </c>
      <c r="D160" s="17" t="s">
        <v>589</v>
      </c>
      <c r="E160" s="17" t="s">
        <v>116</v>
      </c>
      <c r="F160" s="19" t="s">
        <v>590</v>
      </c>
      <c r="G160" s="18" t="s">
        <v>14</v>
      </c>
    </row>
    <row r="161" spans="1:7" ht="31.5" x14ac:dyDescent="0.25">
      <c r="A161" s="14">
        <v>160</v>
      </c>
      <c r="B161" s="15" t="s">
        <v>267</v>
      </c>
      <c r="C161" s="16" t="s">
        <v>591</v>
      </c>
      <c r="D161" s="17" t="s">
        <v>592</v>
      </c>
      <c r="E161" s="17" t="s">
        <v>33</v>
      </c>
      <c r="F161" s="19" t="s">
        <v>593</v>
      </c>
      <c r="G161" s="18" t="s">
        <v>13</v>
      </c>
    </row>
    <row r="162" spans="1:7" x14ac:dyDescent="0.25">
      <c r="A162" s="14">
        <v>161</v>
      </c>
      <c r="B162" s="15" t="s">
        <v>109</v>
      </c>
      <c r="C162" s="16" t="s">
        <v>594</v>
      </c>
      <c r="D162" s="17" t="s">
        <v>595</v>
      </c>
      <c r="E162" s="17" t="s">
        <v>116</v>
      </c>
      <c r="F162" s="19" t="s">
        <v>596</v>
      </c>
      <c r="G162" s="18" t="s">
        <v>17</v>
      </c>
    </row>
    <row r="163" spans="1:7" x14ac:dyDescent="0.25">
      <c r="A163" s="14">
        <v>162</v>
      </c>
      <c r="B163" s="15" t="s">
        <v>597</v>
      </c>
      <c r="C163" s="16" t="s">
        <v>598</v>
      </c>
      <c r="D163" s="17" t="s">
        <v>599</v>
      </c>
      <c r="E163" s="17" t="s">
        <v>33</v>
      </c>
      <c r="F163" s="19" t="s">
        <v>600</v>
      </c>
      <c r="G163" s="18" t="s">
        <v>17</v>
      </c>
    </row>
    <row r="164" spans="1:7" x14ac:dyDescent="0.25">
      <c r="A164" s="14">
        <v>163</v>
      </c>
      <c r="B164" s="15" t="s">
        <v>56</v>
      </c>
      <c r="C164" s="16" t="s">
        <v>601</v>
      </c>
      <c r="D164" s="17" t="s">
        <v>602</v>
      </c>
      <c r="E164" s="17" t="s">
        <v>96</v>
      </c>
      <c r="F164" s="19" t="s">
        <v>603</v>
      </c>
      <c r="G164" s="18" t="s">
        <v>10</v>
      </c>
    </row>
    <row r="165" spans="1:7" ht="31.5" x14ac:dyDescent="0.25">
      <c r="A165" s="14">
        <v>164</v>
      </c>
      <c r="B165" s="15" t="s">
        <v>109</v>
      </c>
      <c r="C165" s="16" t="s">
        <v>604</v>
      </c>
      <c r="D165" s="17" t="s">
        <v>605</v>
      </c>
      <c r="E165" s="17" t="s">
        <v>116</v>
      </c>
      <c r="F165" s="20" t="s">
        <v>606</v>
      </c>
      <c r="G165" s="18" t="s">
        <v>13</v>
      </c>
    </row>
    <row r="166" spans="1:7" ht="31.5" x14ac:dyDescent="0.25">
      <c r="A166" s="14">
        <v>165</v>
      </c>
      <c r="B166" s="15" t="s">
        <v>109</v>
      </c>
      <c r="C166" s="16" t="s">
        <v>560</v>
      </c>
      <c r="D166" s="17" t="s">
        <v>607</v>
      </c>
      <c r="E166" s="17" t="s">
        <v>116</v>
      </c>
      <c r="F166" s="20" t="s">
        <v>608</v>
      </c>
      <c r="G166" s="18" t="s">
        <v>14</v>
      </c>
    </row>
    <row r="167" spans="1:7" ht="31.5" x14ac:dyDescent="0.25">
      <c r="A167" s="14">
        <v>166</v>
      </c>
      <c r="B167" s="15" t="s">
        <v>609</v>
      </c>
      <c r="C167" s="16" t="s">
        <v>610</v>
      </c>
      <c r="D167" s="17" t="s">
        <v>611</v>
      </c>
      <c r="E167" s="17" t="s">
        <v>116</v>
      </c>
      <c r="F167" s="20" t="s">
        <v>612</v>
      </c>
      <c r="G167" s="18" t="s">
        <v>17</v>
      </c>
    </row>
    <row r="168" spans="1:7" ht="31.5" x14ac:dyDescent="0.25">
      <c r="A168" s="14">
        <v>167</v>
      </c>
      <c r="B168" s="15" t="s">
        <v>613</v>
      </c>
      <c r="C168" s="16" t="s">
        <v>614</v>
      </c>
      <c r="D168" s="17" t="s">
        <v>615</v>
      </c>
      <c r="E168" s="17" t="s">
        <v>33</v>
      </c>
      <c r="F168" s="20" t="s">
        <v>616</v>
      </c>
      <c r="G168" s="18" t="s">
        <v>17</v>
      </c>
    </row>
    <row r="169" spans="1:7" x14ac:dyDescent="0.25">
      <c r="A169" s="14">
        <v>168</v>
      </c>
      <c r="B169" s="15" t="s">
        <v>267</v>
      </c>
      <c r="C169" s="16" t="s">
        <v>617</v>
      </c>
      <c r="D169" s="17" t="s">
        <v>618</v>
      </c>
      <c r="E169" s="17" t="s">
        <v>33</v>
      </c>
      <c r="F169" s="19" t="s">
        <v>619</v>
      </c>
      <c r="G169" s="18" t="s">
        <v>17</v>
      </c>
    </row>
    <row r="170" spans="1:7" ht="31.5" x14ac:dyDescent="0.25">
      <c r="A170" s="14">
        <v>169</v>
      </c>
      <c r="B170" s="15" t="s">
        <v>149</v>
      </c>
      <c r="C170" s="16" t="s">
        <v>620</v>
      </c>
      <c r="D170" s="17" t="s">
        <v>621</v>
      </c>
      <c r="E170" s="17" t="s">
        <v>33</v>
      </c>
      <c r="F170" s="19" t="s">
        <v>622</v>
      </c>
      <c r="G170" s="18" t="s">
        <v>17</v>
      </c>
    </row>
    <row r="171" spans="1:7" x14ac:dyDescent="0.25">
      <c r="A171" s="14">
        <v>170</v>
      </c>
      <c r="B171" s="15" t="s">
        <v>623</v>
      </c>
      <c r="C171" s="16" t="s">
        <v>624</v>
      </c>
      <c r="D171" s="17" t="s">
        <v>625</v>
      </c>
      <c r="E171" s="17" t="s">
        <v>33</v>
      </c>
      <c r="F171" s="19" t="s">
        <v>626</v>
      </c>
      <c r="G171" s="18" t="s">
        <v>17</v>
      </c>
    </row>
    <row r="172" spans="1:7" x14ac:dyDescent="0.25">
      <c r="A172" s="14">
        <v>171</v>
      </c>
      <c r="B172" s="15" t="s">
        <v>627</v>
      </c>
      <c r="C172" s="16" t="s">
        <v>628</v>
      </c>
      <c r="D172" s="17" t="s">
        <v>629</v>
      </c>
      <c r="E172" s="17" t="s">
        <v>33</v>
      </c>
      <c r="F172" s="19" t="s">
        <v>630</v>
      </c>
      <c r="G172" s="18" t="s">
        <v>17</v>
      </c>
    </row>
    <row r="173" spans="1:7" x14ac:dyDescent="0.25">
      <c r="A173" s="14">
        <v>172</v>
      </c>
      <c r="B173" s="15" t="s">
        <v>631</v>
      </c>
      <c r="C173" s="16" t="s">
        <v>632</v>
      </c>
      <c r="D173" s="17" t="s">
        <v>633</v>
      </c>
      <c r="E173" s="17" t="s">
        <v>33</v>
      </c>
      <c r="F173" s="19" t="s">
        <v>634</v>
      </c>
      <c r="G173" s="18" t="s">
        <v>17</v>
      </c>
    </row>
    <row r="174" spans="1:7" x14ac:dyDescent="0.25">
      <c r="A174" s="14">
        <v>173</v>
      </c>
      <c r="B174" s="15" t="s">
        <v>635</v>
      </c>
      <c r="C174" s="16" t="s">
        <v>636</v>
      </c>
      <c r="D174" s="23" t="s">
        <v>637</v>
      </c>
      <c r="E174" s="17" t="s">
        <v>33</v>
      </c>
      <c r="F174" s="19" t="s">
        <v>638</v>
      </c>
      <c r="G174" s="18" t="s">
        <v>21</v>
      </c>
    </row>
    <row r="175" spans="1:7" x14ac:dyDescent="0.25">
      <c r="A175" s="14">
        <v>174</v>
      </c>
      <c r="B175" s="15" t="s">
        <v>145</v>
      </c>
      <c r="C175" s="16" t="s">
        <v>639</v>
      </c>
      <c r="D175" s="17" t="s">
        <v>640</v>
      </c>
      <c r="E175" s="17" t="s">
        <v>33</v>
      </c>
      <c r="F175" s="19" t="s">
        <v>641</v>
      </c>
      <c r="G175" s="18" t="s">
        <v>17</v>
      </c>
    </row>
    <row r="176" spans="1:7" ht="31.5" x14ac:dyDescent="0.25">
      <c r="A176" s="14">
        <v>175</v>
      </c>
      <c r="B176" s="15" t="s">
        <v>642</v>
      </c>
      <c r="C176" s="16" t="s">
        <v>643</v>
      </c>
      <c r="D176" s="17" t="s">
        <v>644</v>
      </c>
      <c r="E176" s="17" t="s">
        <v>33</v>
      </c>
      <c r="F176" s="19" t="s">
        <v>645</v>
      </c>
      <c r="G176" s="18" t="s">
        <v>17</v>
      </c>
    </row>
    <row r="177" spans="1:7" x14ac:dyDescent="0.25">
      <c r="A177" s="14">
        <v>176</v>
      </c>
      <c r="B177" s="15" t="s">
        <v>646</v>
      </c>
      <c r="C177" s="16" t="s">
        <v>647</v>
      </c>
      <c r="D177" s="17" t="s">
        <v>648</v>
      </c>
      <c r="E177" s="17" t="s">
        <v>33</v>
      </c>
      <c r="F177" s="19" t="s">
        <v>645</v>
      </c>
      <c r="G177" s="18" t="s">
        <v>17</v>
      </c>
    </row>
    <row r="178" spans="1:7" ht="31.5" x14ac:dyDescent="0.25">
      <c r="A178" s="14">
        <v>177</v>
      </c>
      <c r="B178" s="15" t="s">
        <v>649</v>
      </c>
      <c r="C178" s="16" t="s">
        <v>650</v>
      </c>
      <c r="D178" s="17" t="s">
        <v>651</v>
      </c>
      <c r="E178" s="17" t="s">
        <v>33</v>
      </c>
      <c r="F178" s="24" t="s">
        <v>652</v>
      </c>
      <c r="G178" s="18" t="s">
        <v>4</v>
      </c>
    </row>
    <row r="179" spans="1:7" ht="31.5" x14ac:dyDescent="0.25">
      <c r="A179" s="14">
        <v>178</v>
      </c>
      <c r="B179" s="15" t="s">
        <v>653</v>
      </c>
      <c r="C179" s="16" t="s">
        <v>654</v>
      </c>
      <c r="D179" s="17" t="s">
        <v>655</v>
      </c>
      <c r="E179" s="17" t="s">
        <v>33</v>
      </c>
      <c r="F179" s="24" t="s">
        <v>656</v>
      </c>
      <c r="G179" s="18" t="s">
        <v>10</v>
      </c>
    </row>
    <row r="180" spans="1:7" ht="31.5" x14ac:dyDescent="0.25">
      <c r="A180" s="14">
        <v>179</v>
      </c>
      <c r="B180" s="15" t="s">
        <v>299</v>
      </c>
      <c r="C180" s="16" t="s">
        <v>657</v>
      </c>
      <c r="D180" s="17" t="s">
        <v>658</v>
      </c>
      <c r="E180" s="17" t="s">
        <v>33</v>
      </c>
      <c r="F180" s="20" t="s">
        <v>659</v>
      </c>
      <c r="G180" s="18" t="s">
        <v>13</v>
      </c>
    </row>
    <row r="181" spans="1:7" ht="31.5" x14ac:dyDescent="0.25">
      <c r="A181" s="14">
        <v>180</v>
      </c>
      <c r="B181" s="15" t="s">
        <v>660</v>
      </c>
      <c r="C181" s="16" t="s">
        <v>661</v>
      </c>
      <c r="D181" s="17" t="s">
        <v>662</v>
      </c>
      <c r="E181" s="17" t="s">
        <v>33</v>
      </c>
      <c r="F181" s="20" t="s">
        <v>663</v>
      </c>
      <c r="G181" s="18" t="s">
        <v>19</v>
      </c>
    </row>
    <row r="182" spans="1:7" ht="31.5" x14ac:dyDescent="0.25">
      <c r="A182" s="14">
        <v>181</v>
      </c>
      <c r="B182" s="15" t="s">
        <v>664</v>
      </c>
      <c r="C182" s="16" t="s">
        <v>665</v>
      </c>
      <c r="D182" s="17" t="s">
        <v>666</v>
      </c>
      <c r="E182" s="17" t="s">
        <v>33</v>
      </c>
      <c r="F182" s="20" t="s">
        <v>667</v>
      </c>
      <c r="G182" s="18" t="s">
        <v>19</v>
      </c>
    </row>
    <row r="183" spans="1:7" ht="31.5" x14ac:dyDescent="0.25">
      <c r="A183" s="14">
        <v>182</v>
      </c>
      <c r="B183" s="15" t="s">
        <v>237</v>
      </c>
      <c r="C183" s="16" t="s">
        <v>668</v>
      </c>
      <c r="D183" s="17" t="s">
        <v>669</v>
      </c>
      <c r="E183" s="17" t="s">
        <v>33</v>
      </c>
      <c r="F183" s="20" t="s">
        <v>670</v>
      </c>
      <c r="G183" s="18" t="s">
        <v>9</v>
      </c>
    </row>
    <row r="184" spans="1:7" ht="31.5" x14ac:dyDescent="0.25">
      <c r="A184" s="14">
        <v>183</v>
      </c>
      <c r="B184" s="15" t="s">
        <v>671</v>
      </c>
      <c r="C184" s="16" t="s">
        <v>672</v>
      </c>
      <c r="D184" s="17" t="s">
        <v>51</v>
      </c>
      <c r="E184" s="17" t="s">
        <v>33</v>
      </c>
      <c r="F184" s="20" t="s">
        <v>673</v>
      </c>
      <c r="G184" s="18" t="s">
        <v>9</v>
      </c>
    </row>
    <row r="185" spans="1:7" ht="31.5" x14ac:dyDescent="0.25">
      <c r="A185" s="14">
        <v>184</v>
      </c>
      <c r="B185" s="15" t="s">
        <v>106</v>
      </c>
      <c r="C185" s="16" t="s">
        <v>674</v>
      </c>
      <c r="D185" s="17" t="s">
        <v>675</v>
      </c>
      <c r="E185" s="17" t="s">
        <v>33</v>
      </c>
      <c r="F185" s="20" t="s">
        <v>676</v>
      </c>
      <c r="G185" s="18" t="s">
        <v>17</v>
      </c>
    </row>
    <row r="186" spans="1:7" ht="31.5" x14ac:dyDescent="0.25">
      <c r="A186" s="14">
        <v>185</v>
      </c>
      <c r="B186" s="15" t="s">
        <v>677</v>
      </c>
      <c r="C186" s="16" t="s">
        <v>678</v>
      </c>
      <c r="D186" s="17" t="s">
        <v>679</v>
      </c>
      <c r="E186" s="17" t="s">
        <v>33</v>
      </c>
      <c r="F186" s="24" t="s">
        <v>680</v>
      </c>
      <c r="G186" s="18" t="s">
        <v>10</v>
      </c>
    </row>
    <row r="187" spans="1:7" ht="31.5" x14ac:dyDescent="0.25">
      <c r="A187" s="14">
        <v>186</v>
      </c>
      <c r="B187" s="15" t="s">
        <v>118</v>
      </c>
      <c r="C187" s="16" t="s">
        <v>681</v>
      </c>
      <c r="D187" s="17" t="s">
        <v>682</v>
      </c>
      <c r="E187" s="17" t="s">
        <v>33</v>
      </c>
      <c r="F187" s="24" t="s">
        <v>683</v>
      </c>
      <c r="G187" s="18" t="s">
        <v>21</v>
      </c>
    </row>
    <row r="188" spans="1:7" ht="31.5" x14ac:dyDescent="0.25">
      <c r="A188" s="14">
        <v>187</v>
      </c>
      <c r="B188" s="15" t="s">
        <v>684</v>
      </c>
      <c r="C188" s="16" t="s">
        <v>685</v>
      </c>
      <c r="D188" s="17" t="s">
        <v>686</v>
      </c>
      <c r="E188" s="17" t="s">
        <v>33</v>
      </c>
      <c r="F188" s="20" t="s">
        <v>687</v>
      </c>
      <c r="G188" s="18" t="s">
        <v>17</v>
      </c>
    </row>
    <row r="189" spans="1:7" x14ac:dyDescent="0.25">
      <c r="A189" s="14">
        <v>188</v>
      </c>
      <c r="B189" s="15" t="s">
        <v>688</v>
      </c>
      <c r="C189" s="16" t="s">
        <v>689</v>
      </c>
      <c r="D189" s="17" t="s">
        <v>458</v>
      </c>
      <c r="E189" s="17" t="s">
        <v>33</v>
      </c>
      <c r="F189" s="19" t="s">
        <v>690</v>
      </c>
      <c r="G189" s="18" t="s">
        <v>16</v>
      </c>
    </row>
    <row r="190" spans="1:7" ht="31.5" x14ac:dyDescent="0.25">
      <c r="A190" s="14">
        <v>189</v>
      </c>
      <c r="B190" s="15" t="s">
        <v>691</v>
      </c>
      <c r="C190" s="16" t="s">
        <v>692</v>
      </c>
      <c r="D190" s="17" t="s">
        <v>458</v>
      </c>
      <c r="E190" s="17" t="s">
        <v>33</v>
      </c>
      <c r="F190" s="20" t="s">
        <v>693</v>
      </c>
      <c r="G190" s="18" t="s">
        <v>16</v>
      </c>
    </row>
    <row r="191" spans="1:7" ht="31.5" x14ac:dyDescent="0.25">
      <c r="A191" s="14">
        <v>190</v>
      </c>
      <c r="B191" s="15" t="s">
        <v>694</v>
      </c>
      <c r="C191" s="16" t="s">
        <v>695</v>
      </c>
      <c r="D191" s="17" t="s">
        <v>696</v>
      </c>
      <c r="E191" s="17" t="s">
        <v>33</v>
      </c>
      <c r="F191" s="20" t="s">
        <v>697</v>
      </c>
      <c r="G191" s="18" t="s">
        <v>14</v>
      </c>
    </row>
    <row r="192" spans="1:7" ht="31.5" x14ac:dyDescent="0.25">
      <c r="A192" s="14">
        <v>191</v>
      </c>
      <c r="B192" s="15" t="s">
        <v>245</v>
      </c>
      <c r="C192" s="16" t="s">
        <v>698</v>
      </c>
      <c r="D192" s="17" t="s">
        <v>699</v>
      </c>
      <c r="E192" s="17" t="s">
        <v>33</v>
      </c>
      <c r="F192" s="20" t="s">
        <v>700</v>
      </c>
      <c r="G192" s="18" t="s">
        <v>17</v>
      </c>
    </row>
    <row r="193" spans="1:7" ht="31.5" x14ac:dyDescent="0.25">
      <c r="A193" s="14">
        <v>192</v>
      </c>
      <c r="B193" s="15" t="s">
        <v>118</v>
      </c>
      <c r="C193" s="16" t="s">
        <v>701</v>
      </c>
      <c r="D193" s="17" t="s">
        <v>702</v>
      </c>
      <c r="E193" s="17" t="s">
        <v>33</v>
      </c>
      <c r="F193" s="24" t="s">
        <v>703</v>
      </c>
      <c r="G193" s="18" t="s">
        <v>17</v>
      </c>
    </row>
    <row r="194" spans="1:7" ht="31.5" x14ac:dyDescent="0.25">
      <c r="A194" s="14">
        <v>193</v>
      </c>
      <c r="B194" s="15" t="s">
        <v>704</v>
      </c>
      <c r="C194" s="16" t="s">
        <v>705</v>
      </c>
      <c r="D194" s="17" t="s">
        <v>706</v>
      </c>
      <c r="E194" s="17" t="s">
        <v>33</v>
      </c>
      <c r="F194" s="20" t="s">
        <v>707</v>
      </c>
      <c r="G194" s="18" t="s">
        <v>17</v>
      </c>
    </row>
    <row r="195" spans="1:7" ht="31.5" x14ac:dyDescent="0.25">
      <c r="A195" s="14">
        <v>194</v>
      </c>
      <c r="B195" s="15" t="s">
        <v>145</v>
      </c>
      <c r="C195" s="16" t="s">
        <v>708</v>
      </c>
      <c r="D195" s="17" t="s">
        <v>709</v>
      </c>
      <c r="E195" s="17" t="s">
        <v>33</v>
      </c>
      <c r="F195" s="20" t="s">
        <v>710</v>
      </c>
      <c r="G195" s="18" t="s">
        <v>17</v>
      </c>
    </row>
    <row r="196" spans="1:7" ht="31.5" customHeight="1" x14ac:dyDescent="0.25">
      <c r="A196" s="14">
        <v>195</v>
      </c>
      <c r="B196" s="15" t="s">
        <v>711</v>
      </c>
      <c r="C196" s="16" t="s">
        <v>712</v>
      </c>
      <c r="D196" s="17" t="s">
        <v>713</v>
      </c>
      <c r="E196" s="17" t="s">
        <v>33</v>
      </c>
      <c r="F196" s="20" t="s">
        <v>714</v>
      </c>
      <c r="G196" s="18" t="s">
        <v>17</v>
      </c>
    </row>
    <row r="197" spans="1:7" x14ac:dyDescent="0.25">
      <c r="A197" s="14">
        <v>196</v>
      </c>
      <c r="B197" s="15" t="s">
        <v>715</v>
      </c>
      <c r="C197" s="16" t="s">
        <v>716</v>
      </c>
      <c r="D197" s="17" t="s">
        <v>717</v>
      </c>
      <c r="E197" s="17" t="s">
        <v>33</v>
      </c>
      <c r="F197" s="19" t="s">
        <v>718</v>
      </c>
      <c r="G197" s="18" t="s">
        <v>17</v>
      </c>
    </row>
    <row r="198" spans="1:7" ht="31.5" x14ac:dyDescent="0.25">
      <c r="A198" s="14">
        <v>197</v>
      </c>
      <c r="B198" s="15" t="s">
        <v>642</v>
      </c>
      <c r="C198" s="16" t="s">
        <v>719</v>
      </c>
      <c r="D198" s="17" t="s">
        <v>720</v>
      </c>
      <c r="E198" s="17" t="s">
        <v>33</v>
      </c>
      <c r="F198" s="24" t="s">
        <v>721</v>
      </c>
      <c r="G198" s="18" t="s">
        <v>10</v>
      </c>
    </row>
    <row r="199" spans="1:7" ht="31.5" x14ac:dyDescent="0.25">
      <c r="A199" s="14">
        <v>198</v>
      </c>
      <c r="B199" s="15" t="s">
        <v>145</v>
      </c>
      <c r="C199" s="16" t="s">
        <v>722</v>
      </c>
      <c r="D199" s="17" t="s">
        <v>723</v>
      </c>
      <c r="E199" s="17" t="s">
        <v>33</v>
      </c>
      <c r="F199" s="24" t="s">
        <v>724</v>
      </c>
      <c r="G199" s="18" t="s">
        <v>10</v>
      </c>
    </row>
    <row r="200" spans="1:7" x14ac:dyDescent="0.25">
      <c r="A200" s="14">
        <v>199</v>
      </c>
      <c r="B200" s="15" t="s">
        <v>45</v>
      </c>
      <c r="C200" s="16" t="s">
        <v>725</v>
      </c>
      <c r="D200" s="17" t="s">
        <v>726</v>
      </c>
      <c r="E200" s="17" t="s">
        <v>33</v>
      </c>
      <c r="F200" s="19" t="s">
        <v>727</v>
      </c>
      <c r="G200" s="18" t="s">
        <v>9</v>
      </c>
    </row>
    <row r="201" spans="1:7" x14ac:dyDescent="0.25">
      <c r="A201" s="14">
        <v>200</v>
      </c>
      <c r="B201" s="15" t="s">
        <v>299</v>
      </c>
      <c r="C201" s="16" t="s">
        <v>728</v>
      </c>
      <c r="D201" s="17" t="s">
        <v>729</v>
      </c>
      <c r="E201" s="17" t="s">
        <v>33</v>
      </c>
      <c r="F201" s="22" t="s">
        <v>730</v>
      </c>
      <c r="G201" s="18" t="s">
        <v>17</v>
      </c>
    </row>
    <row r="202" spans="1:7" ht="31.5" customHeight="1" x14ac:dyDescent="0.25">
      <c r="A202" s="14">
        <v>201</v>
      </c>
      <c r="B202" s="15" t="s">
        <v>731</v>
      </c>
      <c r="C202" s="16" t="s">
        <v>732</v>
      </c>
      <c r="D202" s="17" t="s">
        <v>733</v>
      </c>
      <c r="E202" s="17" t="s">
        <v>33</v>
      </c>
      <c r="F202" s="20" t="s">
        <v>734</v>
      </c>
      <c r="G202" s="18" t="s">
        <v>17</v>
      </c>
    </row>
    <row r="203" spans="1:7" ht="31.5" x14ac:dyDescent="0.25">
      <c r="A203" s="14">
        <v>202</v>
      </c>
      <c r="B203" s="15" t="s">
        <v>492</v>
      </c>
      <c r="C203" s="16" t="s">
        <v>735</v>
      </c>
      <c r="D203" s="17" t="s">
        <v>736</v>
      </c>
      <c r="E203" s="17" t="s">
        <v>33</v>
      </c>
      <c r="F203" s="20" t="s">
        <v>737</v>
      </c>
      <c r="G203" s="18" t="s">
        <v>17</v>
      </c>
    </row>
    <row r="204" spans="1:7" ht="31.5" x14ac:dyDescent="0.25">
      <c r="A204" s="14">
        <v>203</v>
      </c>
      <c r="B204" s="15" t="s">
        <v>738</v>
      </c>
      <c r="C204" s="16" t="s">
        <v>739</v>
      </c>
      <c r="D204" s="17" t="s">
        <v>740</v>
      </c>
      <c r="E204" s="17" t="s">
        <v>33</v>
      </c>
      <c r="F204" s="20" t="s">
        <v>741</v>
      </c>
      <c r="G204" s="18" t="s">
        <v>14</v>
      </c>
    </row>
    <row r="205" spans="1:7" x14ac:dyDescent="0.25">
      <c r="A205" s="14">
        <v>204</v>
      </c>
      <c r="B205" s="15" t="s">
        <v>98</v>
      </c>
      <c r="C205" s="16" t="s">
        <v>742</v>
      </c>
      <c r="D205" s="17" t="s">
        <v>743</v>
      </c>
      <c r="E205" s="17" t="s">
        <v>33</v>
      </c>
      <c r="F205" s="22" t="s">
        <v>744</v>
      </c>
      <c r="G205" s="18" t="s">
        <v>4</v>
      </c>
    </row>
    <row r="206" spans="1:7" x14ac:dyDescent="0.25">
      <c r="A206" s="14">
        <v>205</v>
      </c>
      <c r="B206" s="15" t="s">
        <v>145</v>
      </c>
      <c r="C206" s="16" t="s">
        <v>745</v>
      </c>
      <c r="D206" s="17" t="s">
        <v>746</v>
      </c>
      <c r="E206" s="17" t="s">
        <v>33</v>
      </c>
      <c r="F206" s="19" t="s">
        <v>747</v>
      </c>
      <c r="G206" s="18" t="s">
        <v>14</v>
      </c>
    </row>
    <row r="207" spans="1:7" x14ac:dyDescent="0.25">
      <c r="A207" s="14">
        <v>206</v>
      </c>
      <c r="B207" s="15" t="s">
        <v>748</v>
      </c>
      <c r="C207" s="16" t="s">
        <v>749</v>
      </c>
      <c r="D207" s="17" t="s">
        <v>750</v>
      </c>
      <c r="E207" s="17" t="s">
        <v>33</v>
      </c>
      <c r="F207" s="19" t="s">
        <v>751</v>
      </c>
      <c r="G207" s="18" t="s">
        <v>17</v>
      </c>
    </row>
    <row r="208" spans="1:7" ht="31.5" x14ac:dyDescent="0.25">
      <c r="A208" s="14">
        <v>207</v>
      </c>
      <c r="B208" s="15" t="s">
        <v>752</v>
      </c>
      <c r="C208" s="16" t="s">
        <v>415</v>
      </c>
      <c r="D208" s="17" t="s">
        <v>753</v>
      </c>
      <c r="E208" s="17" t="s">
        <v>33</v>
      </c>
      <c r="F208" s="20" t="s">
        <v>417</v>
      </c>
      <c r="G208" s="18" t="s">
        <v>17</v>
      </c>
    </row>
    <row r="209" spans="1:7" ht="31.5" x14ac:dyDescent="0.25">
      <c r="A209" s="14">
        <v>208</v>
      </c>
      <c r="B209" s="15" t="s">
        <v>754</v>
      </c>
      <c r="C209" s="16" t="s">
        <v>187</v>
      </c>
      <c r="D209" s="17" t="s">
        <v>755</v>
      </c>
      <c r="E209" s="17" t="s">
        <v>33</v>
      </c>
      <c r="F209" s="20" t="s">
        <v>189</v>
      </c>
      <c r="G209" s="18" t="s">
        <v>17</v>
      </c>
    </row>
    <row r="210" spans="1:7" x14ac:dyDescent="0.25">
      <c r="A210" s="14">
        <v>209</v>
      </c>
      <c r="B210" s="15" t="s">
        <v>756</v>
      </c>
      <c r="C210" s="16" t="s">
        <v>757</v>
      </c>
      <c r="D210" s="17" t="s">
        <v>758</v>
      </c>
      <c r="E210" s="17" t="s">
        <v>33</v>
      </c>
      <c r="F210" s="19" t="s">
        <v>759</v>
      </c>
      <c r="G210" s="18" t="s">
        <v>14</v>
      </c>
    </row>
    <row r="211" spans="1:7" ht="31.5" x14ac:dyDescent="0.25">
      <c r="A211" s="14">
        <v>210</v>
      </c>
      <c r="B211" s="15" t="s">
        <v>760</v>
      </c>
      <c r="C211" s="16" t="s">
        <v>761</v>
      </c>
      <c r="D211" s="17" t="s">
        <v>762</v>
      </c>
      <c r="E211" s="17" t="s">
        <v>33</v>
      </c>
      <c r="F211" s="19" t="s">
        <v>763</v>
      </c>
      <c r="G211" s="18" t="s">
        <v>17</v>
      </c>
    </row>
    <row r="212" spans="1:7" ht="31.5" x14ac:dyDescent="0.25">
      <c r="A212" s="14">
        <v>211</v>
      </c>
      <c r="B212" s="15" t="s">
        <v>764</v>
      </c>
      <c r="C212" s="16" t="s">
        <v>765</v>
      </c>
      <c r="D212" s="17" t="s">
        <v>766</v>
      </c>
      <c r="E212" s="17" t="s">
        <v>33</v>
      </c>
      <c r="F212" s="20" t="s">
        <v>767</v>
      </c>
      <c r="G212" s="18" t="s">
        <v>5</v>
      </c>
    </row>
    <row r="213" spans="1:7" ht="31.5" x14ac:dyDescent="0.25">
      <c r="A213" s="14">
        <v>212</v>
      </c>
      <c r="B213" s="15" t="s">
        <v>768</v>
      </c>
      <c r="C213" s="16" t="s">
        <v>769</v>
      </c>
      <c r="D213" s="17" t="s">
        <v>770</v>
      </c>
      <c r="E213" s="17" t="s">
        <v>33</v>
      </c>
      <c r="F213" s="24" t="s">
        <v>771</v>
      </c>
      <c r="G213" s="18" t="s">
        <v>5</v>
      </c>
    </row>
    <row r="214" spans="1:7" ht="31.5" x14ac:dyDescent="0.25">
      <c r="A214" s="14">
        <v>213</v>
      </c>
      <c r="B214" s="15" t="s">
        <v>772</v>
      </c>
      <c r="C214" s="16" t="s">
        <v>773</v>
      </c>
      <c r="D214" s="17" t="s">
        <v>774</v>
      </c>
      <c r="E214" s="17" t="s">
        <v>33</v>
      </c>
      <c r="F214" s="20" t="s">
        <v>775</v>
      </c>
      <c r="G214" s="18" t="s">
        <v>17</v>
      </c>
    </row>
    <row r="215" spans="1:7" ht="31.5" x14ac:dyDescent="0.25">
      <c r="A215" s="14">
        <v>214</v>
      </c>
      <c r="B215" s="15" t="s">
        <v>776</v>
      </c>
      <c r="C215" s="16" t="s">
        <v>777</v>
      </c>
      <c r="D215" s="17" t="s">
        <v>778</v>
      </c>
      <c r="E215" s="17" t="s">
        <v>33</v>
      </c>
      <c r="F215" s="20" t="s">
        <v>779</v>
      </c>
      <c r="G215" s="18" t="s">
        <v>14</v>
      </c>
    </row>
    <row r="216" spans="1:7" ht="31.5" x14ac:dyDescent="0.25">
      <c r="A216" s="14">
        <v>215</v>
      </c>
      <c r="B216" s="15" t="s">
        <v>780</v>
      </c>
      <c r="C216" s="16" t="s">
        <v>781</v>
      </c>
      <c r="D216" s="17" t="s">
        <v>782</v>
      </c>
      <c r="E216" s="17" t="s">
        <v>33</v>
      </c>
      <c r="F216" s="24" t="s">
        <v>783</v>
      </c>
      <c r="G216" s="18" t="s">
        <v>15</v>
      </c>
    </row>
    <row r="217" spans="1:7" ht="31.5" x14ac:dyDescent="0.25">
      <c r="A217" s="14">
        <v>216</v>
      </c>
      <c r="B217" s="15" t="s">
        <v>784</v>
      </c>
      <c r="C217" s="16" t="s">
        <v>785</v>
      </c>
      <c r="D217" s="17" t="s">
        <v>786</v>
      </c>
      <c r="E217" s="17" t="s">
        <v>33</v>
      </c>
      <c r="F217" s="24" t="s">
        <v>787</v>
      </c>
      <c r="G217" s="18" t="s">
        <v>5</v>
      </c>
    </row>
    <row r="218" spans="1:7" ht="31.5" x14ac:dyDescent="0.25">
      <c r="A218" s="14">
        <v>217</v>
      </c>
      <c r="B218" s="15" t="s">
        <v>788</v>
      </c>
      <c r="C218" s="16" t="s">
        <v>789</v>
      </c>
      <c r="D218" s="17" t="s">
        <v>790</v>
      </c>
      <c r="E218" s="17" t="s">
        <v>33</v>
      </c>
      <c r="F218" s="24" t="s">
        <v>791</v>
      </c>
      <c r="G218" s="18" t="s">
        <v>10</v>
      </c>
    </row>
    <row r="219" spans="1:7" ht="31.5" x14ac:dyDescent="0.25">
      <c r="A219" s="14">
        <v>218</v>
      </c>
      <c r="B219" s="15" t="s">
        <v>792</v>
      </c>
      <c r="C219" s="16" t="s">
        <v>793</v>
      </c>
      <c r="D219" s="17" t="s">
        <v>794</v>
      </c>
      <c r="E219" s="17" t="s">
        <v>33</v>
      </c>
      <c r="F219" s="24" t="s">
        <v>795</v>
      </c>
      <c r="G219" s="18" t="s">
        <v>10</v>
      </c>
    </row>
    <row r="220" spans="1:7" ht="31.5" x14ac:dyDescent="0.25">
      <c r="A220" s="14">
        <v>219</v>
      </c>
      <c r="B220" s="15" t="s">
        <v>796</v>
      </c>
      <c r="C220" s="16" t="s">
        <v>797</v>
      </c>
      <c r="D220" s="17" t="s">
        <v>798</v>
      </c>
      <c r="E220" s="17" t="s">
        <v>33</v>
      </c>
      <c r="F220" s="24" t="s">
        <v>799</v>
      </c>
      <c r="G220" s="18" t="s">
        <v>10</v>
      </c>
    </row>
    <row r="221" spans="1:7" ht="31.5" x14ac:dyDescent="0.25">
      <c r="A221" s="14">
        <v>220</v>
      </c>
      <c r="B221" s="15" t="s">
        <v>800</v>
      </c>
      <c r="C221" s="16" t="s">
        <v>801</v>
      </c>
      <c r="D221" s="17" t="s">
        <v>802</v>
      </c>
      <c r="E221" s="17" t="s">
        <v>33</v>
      </c>
      <c r="F221" s="24" t="s">
        <v>803</v>
      </c>
      <c r="G221" s="18" t="s">
        <v>4</v>
      </c>
    </row>
    <row r="222" spans="1:7" ht="31.5" x14ac:dyDescent="0.25">
      <c r="A222" s="14">
        <v>221</v>
      </c>
      <c r="B222" s="15" t="s">
        <v>804</v>
      </c>
      <c r="C222" s="16" t="s">
        <v>805</v>
      </c>
      <c r="D222" s="17" t="s">
        <v>806</v>
      </c>
      <c r="E222" s="17" t="s">
        <v>33</v>
      </c>
      <c r="F222" s="24" t="s">
        <v>807</v>
      </c>
      <c r="G222" s="18" t="s">
        <v>9</v>
      </c>
    </row>
    <row r="223" spans="1:7" ht="31.5" x14ac:dyDescent="0.25">
      <c r="A223" s="14">
        <v>222</v>
      </c>
      <c r="B223" s="15" t="s">
        <v>808</v>
      </c>
      <c r="C223" s="16" t="s">
        <v>809</v>
      </c>
      <c r="D223" s="17" t="s">
        <v>810</v>
      </c>
      <c r="E223" s="17" t="s">
        <v>33</v>
      </c>
      <c r="F223" s="20" t="s">
        <v>811</v>
      </c>
      <c r="G223" s="18" t="s">
        <v>17</v>
      </c>
    </row>
    <row r="224" spans="1:7" ht="31.5" x14ac:dyDescent="0.25">
      <c r="A224" s="14">
        <v>223</v>
      </c>
      <c r="B224" s="15" t="s">
        <v>321</v>
      </c>
      <c r="C224" s="16" t="s">
        <v>812</v>
      </c>
      <c r="D224" s="17" t="s">
        <v>813</v>
      </c>
      <c r="E224" s="17" t="s">
        <v>33</v>
      </c>
      <c r="F224" s="20" t="s">
        <v>814</v>
      </c>
      <c r="G224" s="18" t="s">
        <v>17</v>
      </c>
    </row>
    <row r="225" spans="1:7" ht="31.5" x14ac:dyDescent="0.25">
      <c r="A225" s="14">
        <v>224</v>
      </c>
      <c r="B225" s="15" t="s">
        <v>299</v>
      </c>
      <c r="C225" s="16" t="s">
        <v>815</v>
      </c>
      <c r="D225" s="17" t="s">
        <v>816</v>
      </c>
      <c r="E225" s="17" t="s">
        <v>33</v>
      </c>
      <c r="F225" s="20" t="s">
        <v>817</v>
      </c>
      <c r="G225" s="18" t="s">
        <v>17</v>
      </c>
    </row>
    <row r="226" spans="1:7" ht="31.5" customHeight="1" x14ac:dyDescent="0.25">
      <c r="A226" s="14">
        <v>225</v>
      </c>
      <c r="B226" s="15" t="s">
        <v>361</v>
      </c>
      <c r="C226" s="16" t="s">
        <v>818</v>
      </c>
      <c r="D226" s="17" t="s">
        <v>819</v>
      </c>
      <c r="E226" s="17" t="s">
        <v>33</v>
      </c>
      <c r="F226" s="20" t="s">
        <v>820</v>
      </c>
      <c r="G226" s="18" t="s">
        <v>17</v>
      </c>
    </row>
    <row r="227" spans="1:7" ht="31.5" x14ac:dyDescent="0.25">
      <c r="A227" s="14">
        <v>226</v>
      </c>
      <c r="B227" s="15" t="s">
        <v>237</v>
      </c>
      <c r="C227" s="16" t="s">
        <v>821</v>
      </c>
      <c r="D227" s="17" t="s">
        <v>161</v>
      </c>
      <c r="E227" s="17" t="s">
        <v>33</v>
      </c>
      <c r="F227" s="24" t="s">
        <v>822</v>
      </c>
      <c r="G227" s="18" t="s">
        <v>10</v>
      </c>
    </row>
    <row r="228" spans="1:7" ht="31.5" x14ac:dyDescent="0.25">
      <c r="A228" s="14">
        <v>227</v>
      </c>
      <c r="B228" s="15" t="s">
        <v>823</v>
      </c>
      <c r="C228" s="16" t="s">
        <v>824</v>
      </c>
      <c r="D228" s="17" t="s">
        <v>825</v>
      </c>
      <c r="E228" s="17" t="s">
        <v>33</v>
      </c>
      <c r="F228" s="24" t="s">
        <v>826</v>
      </c>
      <c r="G228" s="18" t="s">
        <v>10</v>
      </c>
    </row>
    <row r="229" spans="1:7" ht="31.5" x14ac:dyDescent="0.25">
      <c r="A229" s="14">
        <v>228</v>
      </c>
      <c r="B229" s="15" t="s">
        <v>827</v>
      </c>
      <c r="C229" s="16" t="s">
        <v>828</v>
      </c>
      <c r="D229" s="17" t="s">
        <v>829</v>
      </c>
      <c r="E229" s="17" t="s">
        <v>33</v>
      </c>
      <c r="F229" s="24" t="s">
        <v>830</v>
      </c>
      <c r="G229" s="18" t="s">
        <v>10</v>
      </c>
    </row>
    <row r="230" spans="1:7" ht="31.5" x14ac:dyDescent="0.25">
      <c r="A230" s="14">
        <v>229</v>
      </c>
      <c r="B230" s="15" t="s">
        <v>387</v>
      </c>
      <c r="C230" s="16" t="s">
        <v>831</v>
      </c>
      <c r="D230" s="17" t="s">
        <v>832</v>
      </c>
      <c r="E230" s="17" t="s">
        <v>33</v>
      </c>
      <c r="F230" s="20" t="s">
        <v>833</v>
      </c>
      <c r="G230" s="18" t="s">
        <v>21</v>
      </c>
    </row>
    <row r="231" spans="1:7" x14ac:dyDescent="0.25">
      <c r="A231" s="14">
        <v>230</v>
      </c>
      <c r="B231" s="15" t="s">
        <v>387</v>
      </c>
      <c r="C231" s="16" t="s">
        <v>834</v>
      </c>
      <c r="D231" s="17" t="s">
        <v>835</v>
      </c>
      <c r="E231" s="17" t="s">
        <v>33</v>
      </c>
      <c r="F231" s="22" t="s">
        <v>836</v>
      </c>
      <c r="G231" s="18" t="s">
        <v>8</v>
      </c>
    </row>
    <row r="232" spans="1:7" ht="31.5" x14ac:dyDescent="0.25">
      <c r="A232" s="14">
        <v>231</v>
      </c>
      <c r="B232" s="15" t="s">
        <v>837</v>
      </c>
      <c r="C232" s="16" t="s">
        <v>838</v>
      </c>
      <c r="D232" s="17" t="s">
        <v>839</v>
      </c>
      <c r="E232" s="17" t="s">
        <v>33</v>
      </c>
      <c r="F232" s="24" t="s">
        <v>840</v>
      </c>
      <c r="G232" s="18" t="s">
        <v>4</v>
      </c>
    </row>
    <row r="233" spans="1:7" ht="31.5" x14ac:dyDescent="0.25">
      <c r="A233" s="14">
        <v>232</v>
      </c>
      <c r="B233" s="15" t="s">
        <v>841</v>
      </c>
      <c r="C233" s="16" t="s">
        <v>842</v>
      </c>
      <c r="D233" s="17" t="s">
        <v>843</v>
      </c>
      <c r="E233" s="17" t="s">
        <v>33</v>
      </c>
      <c r="F233" s="20" t="s">
        <v>844</v>
      </c>
      <c r="G233" s="18" t="s">
        <v>17</v>
      </c>
    </row>
    <row r="234" spans="1:7" ht="31.5" x14ac:dyDescent="0.25">
      <c r="A234" s="14">
        <v>233</v>
      </c>
      <c r="B234" s="15" t="s">
        <v>299</v>
      </c>
      <c r="C234" s="16" t="s">
        <v>845</v>
      </c>
      <c r="D234" s="17" t="s">
        <v>846</v>
      </c>
      <c r="E234" s="17" t="s">
        <v>33</v>
      </c>
      <c r="F234" s="20" t="s">
        <v>847</v>
      </c>
      <c r="G234" s="18" t="s">
        <v>17</v>
      </c>
    </row>
    <row r="235" spans="1:7" ht="31.5" x14ac:dyDescent="0.25">
      <c r="A235" s="14">
        <v>234</v>
      </c>
      <c r="B235" s="15" t="s">
        <v>848</v>
      </c>
      <c r="C235" s="16" t="s">
        <v>849</v>
      </c>
      <c r="D235" s="17" t="s">
        <v>850</v>
      </c>
      <c r="E235" s="17" t="s">
        <v>33</v>
      </c>
      <c r="F235" s="24" t="s">
        <v>851</v>
      </c>
      <c r="G235" s="18" t="s">
        <v>5</v>
      </c>
    </row>
    <row r="236" spans="1:7" x14ac:dyDescent="0.25">
      <c r="A236" s="14">
        <v>235</v>
      </c>
      <c r="B236" s="15" t="s">
        <v>642</v>
      </c>
      <c r="C236" s="16" t="s">
        <v>852</v>
      </c>
      <c r="D236" s="17" t="s">
        <v>853</v>
      </c>
      <c r="E236" s="17" t="s">
        <v>33</v>
      </c>
      <c r="F236" s="19" t="s">
        <v>854</v>
      </c>
      <c r="G236" s="18" t="s">
        <v>17</v>
      </c>
    </row>
    <row r="237" spans="1:7" ht="31.5" x14ac:dyDescent="0.25">
      <c r="A237" s="14">
        <v>236</v>
      </c>
      <c r="B237" s="15" t="s">
        <v>361</v>
      </c>
      <c r="C237" s="16" t="s">
        <v>855</v>
      </c>
      <c r="D237" s="17" t="s">
        <v>856</v>
      </c>
      <c r="E237" s="17" t="s">
        <v>33</v>
      </c>
      <c r="F237" s="20" t="s">
        <v>857</v>
      </c>
      <c r="G237" s="18" t="s">
        <v>16</v>
      </c>
    </row>
    <row r="238" spans="1:7" ht="31.5" x14ac:dyDescent="0.25">
      <c r="A238" s="14">
        <v>237</v>
      </c>
      <c r="B238" s="15" t="s">
        <v>858</v>
      </c>
      <c r="C238" s="16" t="s">
        <v>859</v>
      </c>
      <c r="D238" s="17" t="s">
        <v>860</v>
      </c>
      <c r="E238" s="17" t="s">
        <v>33</v>
      </c>
      <c r="F238" s="24" t="s">
        <v>861</v>
      </c>
      <c r="G238" s="18" t="s">
        <v>16</v>
      </c>
    </row>
    <row r="239" spans="1:7" ht="31.5" x14ac:dyDescent="0.25">
      <c r="A239" s="14">
        <v>238</v>
      </c>
      <c r="B239" s="15" t="s">
        <v>344</v>
      </c>
      <c r="C239" s="16" t="s">
        <v>862</v>
      </c>
      <c r="D239" s="17" t="s">
        <v>863</v>
      </c>
      <c r="E239" s="17" t="s">
        <v>33</v>
      </c>
      <c r="F239" s="20" t="s">
        <v>864</v>
      </c>
      <c r="G239" s="18" t="s">
        <v>9</v>
      </c>
    </row>
    <row r="240" spans="1:7" ht="31.5" x14ac:dyDescent="0.25">
      <c r="A240" s="14">
        <v>239</v>
      </c>
      <c r="B240" s="15" t="s">
        <v>344</v>
      </c>
      <c r="C240" s="16" t="s">
        <v>865</v>
      </c>
      <c r="D240" s="17" t="s">
        <v>866</v>
      </c>
      <c r="E240" s="17" t="s">
        <v>33</v>
      </c>
      <c r="F240" s="20" t="s">
        <v>867</v>
      </c>
      <c r="G240" s="18" t="s">
        <v>9</v>
      </c>
    </row>
    <row r="241" spans="1:7" ht="31.5" x14ac:dyDescent="0.25">
      <c r="A241" s="14">
        <v>240</v>
      </c>
      <c r="B241" s="15" t="s">
        <v>344</v>
      </c>
      <c r="C241" s="16" t="s">
        <v>868</v>
      </c>
      <c r="D241" s="17" t="s">
        <v>869</v>
      </c>
      <c r="E241" s="17" t="s">
        <v>33</v>
      </c>
      <c r="F241" s="24" t="s">
        <v>870</v>
      </c>
      <c r="G241" s="18" t="s">
        <v>15</v>
      </c>
    </row>
    <row r="242" spans="1:7" ht="31.5" x14ac:dyDescent="0.25">
      <c r="A242" s="14">
        <v>241</v>
      </c>
      <c r="B242" s="15" t="s">
        <v>387</v>
      </c>
      <c r="C242" s="16" t="s">
        <v>871</v>
      </c>
      <c r="D242" s="17" t="s">
        <v>872</v>
      </c>
      <c r="E242" s="17" t="s">
        <v>33</v>
      </c>
      <c r="F242" s="20" t="s">
        <v>870</v>
      </c>
      <c r="G242" s="18" t="s">
        <v>15</v>
      </c>
    </row>
    <row r="243" spans="1:7" ht="31.5" x14ac:dyDescent="0.25">
      <c r="A243" s="14">
        <v>242</v>
      </c>
      <c r="B243" s="15" t="s">
        <v>873</v>
      </c>
      <c r="C243" s="16" t="s">
        <v>874</v>
      </c>
      <c r="D243" s="17" t="s">
        <v>875</v>
      </c>
      <c r="E243" s="17" t="s">
        <v>33</v>
      </c>
      <c r="F243" s="24" t="s">
        <v>876</v>
      </c>
      <c r="G243" s="18" t="s">
        <v>5</v>
      </c>
    </row>
    <row r="244" spans="1:7" ht="31.5" x14ac:dyDescent="0.25">
      <c r="A244" s="14">
        <v>243</v>
      </c>
      <c r="B244" s="15" t="s">
        <v>877</v>
      </c>
      <c r="C244" s="16" t="s">
        <v>878</v>
      </c>
      <c r="D244" s="17" t="s">
        <v>879</v>
      </c>
      <c r="E244" s="17" t="s">
        <v>33</v>
      </c>
      <c r="F244" s="24" t="s">
        <v>880</v>
      </c>
      <c r="G244" s="18" t="s">
        <v>4</v>
      </c>
    </row>
    <row r="245" spans="1:7" ht="31.5" x14ac:dyDescent="0.25">
      <c r="A245" s="14">
        <v>244</v>
      </c>
      <c r="B245" s="15" t="s">
        <v>361</v>
      </c>
      <c r="C245" s="16" t="s">
        <v>881</v>
      </c>
      <c r="D245" s="17" t="s">
        <v>882</v>
      </c>
      <c r="E245" s="17" t="s">
        <v>33</v>
      </c>
      <c r="F245" s="24" t="s">
        <v>883</v>
      </c>
      <c r="G245" s="18" t="s">
        <v>5</v>
      </c>
    </row>
    <row r="246" spans="1:7" x14ac:dyDescent="0.25">
      <c r="A246" s="14">
        <v>245</v>
      </c>
      <c r="B246" s="15" t="s">
        <v>884</v>
      </c>
      <c r="C246" s="16" t="s">
        <v>885</v>
      </c>
      <c r="D246" s="17" t="s">
        <v>886</v>
      </c>
      <c r="E246" s="17" t="s">
        <v>33</v>
      </c>
      <c r="F246" s="22" t="s">
        <v>887</v>
      </c>
      <c r="G246" s="18" t="s">
        <v>17</v>
      </c>
    </row>
    <row r="247" spans="1:7" ht="31.5" x14ac:dyDescent="0.25">
      <c r="A247" s="14">
        <v>246</v>
      </c>
      <c r="B247" s="15" t="s">
        <v>361</v>
      </c>
      <c r="C247" s="16" t="s">
        <v>888</v>
      </c>
      <c r="D247" s="17" t="s">
        <v>889</v>
      </c>
      <c r="E247" s="17" t="s">
        <v>33</v>
      </c>
      <c r="F247" s="24" t="s">
        <v>890</v>
      </c>
      <c r="G247" s="18" t="s">
        <v>20</v>
      </c>
    </row>
    <row r="248" spans="1:7" ht="31.5" x14ac:dyDescent="0.25">
      <c r="A248" s="14">
        <v>247</v>
      </c>
      <c r="B248" s="15" t="s">
        <v>891</v>
      </c>
      <c r="C248" s="16" t="s">
        <v>213</v>
      </c>
      <c r="D248" s="17" t="s">
        <v>892</v>
      </c>
      <c r="E248" s="17" t="s">
        <v>33</v>
      </c>
      <c r="F248" s="19" t="s">
        <v>215</v>
      </c>
      <c r="G248" s="18" t="s">
        <v>17</v>
      </c>
    </row>
    <row r="249" spans="1:7" ht="31.5" x14ac:dyDescent="0.25">
      <c r="A249" s="14">
        <v>248</v>
      </c>
      <c r="B249" s="15" t="s">
        <v>893</v>
      </c>
      <c r="C249" s="16" t="s">
        <v>894</v>
      </c>
      <c r="D249" s="17" t="s">
        <v>895</v>
      </c>
      <c r="E249" s="17" t="s">
        <v>33</v>
      </c>
      <c r="F249" s="20" t="s">
        <v>896</v>
      </c>
      <c r="G249" s="18" t="s">
        <v>7</v>
      </c>
    </row>
    <row r="250" spans="1:7" ht="31.5" x14ac:dyDescent="0.25">
      <c r="A250" s="14">
        <v>249</v>
      </c>
      <c r="B250" s="15" t="s">
        <v>897</v>
      </c>
      <c r="C250" s="16" t="s">
        <v>898</v>
      </c>
      <c r="D250" s="17" t="s">
        <v>899</v>
      </c>
      <c r="E250" s="17" t="s">
        <v>33</v>
      </c>
      <c r="F250" s="20" t="s">
        <v>900</v>
      </c>
      <c r="G250" s="18" t="s">
        <v>5</v>
      </c>
    </row>
    <row r="251" spans="1:7" ht="31.5" x14ac:dyDescent="0.25">
      <c r="A251" s="14">
        <v>250</v>
      </c>
      <c r="B251" s="15" t="s">
        <v>98</v>
      </c>
      <c r="C251" s="16" t="s">
        <v>901</v>
      </c>
      <c r="D251" s="17" t="s">
        <v>902</v>
      </c>
      <c r="E251" s="17" t="s">
        <v>33</v>
      </c>
      <c r="F251" s="24" t="s">
        <v>903</v>
      </c>
      <c r="G251" s="18" t="s">
        <v>17</v>
      </c>
    </row>
    <row r="252" spans="1:7" ht="17.100000000000001" customHeight="1" x14ac:dyDescent="0.25">
      <c r="A252" s="14">
        <v>251</v>
      </c>
      <c r="B252" s="15" t="s">
        <v>106</v>
      </c>
      <c r="C252" s="16" t="s">
        <v>904</v>
      </c>
      <c r="D252" s="17" t="s">
        <v>905</v>
      </c>
      <c r="E252" s="17" t="s">
        <v>33</v>
      </c>
      <c r="F252" s="20" t="s">
        <v>906</v>
      </c>
      <c r="G252" s="18" t="s">
        <v>17</v>
      </c>
    </row>
    <row r="253" spans="1:7" ht="31.5" x14ac:dyDescent="0.25">
      <c r="A253" s="14">
        <v>252</v>
      </c>
      <c r="B253" s="15" t="s">
        <v>907</v>
      </c>
      <c r="C253" s="16" t="s">
        <v>908</v>
      </c>
      <c r="D253" s="17" t="s">
        <v>909</v>
      </c>
      <c r="E253" s="17" t="s">
        <v>33</v>
      </c>
      <c r="F253" s="24" t="s">
        <v>910</v>
      </c>
      <c r="G253" s="18" t="s">
        <v>17</v>
      </c>
    </row>
    <row r="254" spans="1:7" ht="31.5" x14ac:dyDescent="0.25">
      <c r="A254" s="14">
        <v>253</v>
      </c>
      <c r="B254" s="15" t="s">
        <v>492</v>
      </c>
      <c r="C254" s="16" t="s">
        <v>911</v>
      </c>
      <c r="D254" s="17" t="s">
        <v>912</v>
      </c>
      <c r="E254" s="17" t="s">
        <v>33</v>
      </c>
      <c r="F254" s="20" t="s">
        <v>913</v>
      </c>
      <c r="G254" s="18" t="s">
        <v>17</v>
      </c>
    </row>
    <row r="255" spans="1:7" ht="31.5" x14ac:dyDescent="0.25">
      <c r="A255" s="14">
        <v>254</v>
      </c>
      <c r="B255" s="15" t="s">
        <v>106</v>
      </c>
      <c r="C255" s="16" t="s">
        <v>68</v>
      </c>
      <c r="D255" s="17" t="s">
        <v>914</v>
      </c>
      <c r="E255" s="17" t="s">
        <v>33</v>
      </c>
      <c r="F255" s="20" t="s">
        <v>70</v>
      </c>
      <c r="G255" s="18" t="s">
        <v>13</v>
      </c>
    </row>
    <row r="256" spans="1:7" ht="31.5" x14ac:dyDescent="0.25">
      <c r="A256" s="14">
        <v>255</v>
      </c>
      <c r="B256" s="15" t="s">
        <v>915</v>
      </c>
      <c r="C256" s="16" t="s">
        <v>916</v>
      </c>
      <c r="D256" s="17" t="s">
        <v>917</v>
      </c>
      <c r="E256" s="17" t="s">
        <v>33</v>
      </c>
      <c r="F256" s="20" t="s">
        <v>918</v>
      </c>
      <c r="G256" s="18" t="s">
        <v>12</v>
      </c>
    </row>
    <row r="257" spans="1:7" ht="31.5" x14ac:dyDescent="0.25">
      <c r="A257" s="14">
        <v>256</v>
      </c>
      <c r="B257" s="15" t="s">
        <v>253</v>
      </c>
      <c r="C257" s="16" t="s">
        <v>919</v>
      </c>
      <c r="D257" s="17" t="s">
        <v>920</v>
      </c>
      <c r="E257" s="17" t="s">
        <v>33</v>
      </c>
      <c r="F257" s="24" t="s">
        <v>921</v>
      </c>
      <c r="G257" s="18" t="s">
        <v>8</v>
      </c>
    </row>
    <row r="258" spans="1:7" ht="31.5" x14ac:dyDescent="0.25">
      <c r="A258" s="14">
        <v>257</v>
      </c>
      <c r="B258" s="15" t="s">
        <v>922</v>
      </c>
      <c r="C258" s="16" t="s">
        <v>923</v>
      </c>
      <c r="D258" s="17" t="s">
        <v>924</v>
      </c>
      <c r="E258" s="17" t="s">
        <v>33</v>
      </c>
      <c r="F258" s="24" t="s">
        <v>925</v>
      </c>
      <c r="G258" s="18" t="s">
        <v>10</v>
      </c>
    </row>
    <row r="259" spans="1:7" ht="31.5" x14ac:dyDescent="0.25">
      <c r="A259" s="14">
        <v>258</v>
      </c>
      <c r="B259" s="15" t="s">
        <v>145</v>
      </c>
      <c r="C259" s="16" t="s">
        <v>926</v>
      </c>
      <c r="D259" s="17" t="s">
        <v>927</v>
      </c>
      <c r="E259" s="17" t="s">
        <v>33</v>
      </c>
      <c r="F259" s="24" t="s">
        <v>928</v>
      </c>
      <c r="G259" s="18" t="s">
        <v>8</v>
      </c>
    </row>
    <row r="260" spans="1:7" x14ac:dyDescent="0.25">
      <c r="A260" s="14">
        <v>259</v>
      </c>
      <c r="B260" s="15" t="s">
        <v>929</v>
      </c>
      <c r="C260" s="16" t="s">
        <v>930</v>
      </c>
      <c r="D260" s="17" t="s">
        <v>931</v>
      </c>
      <c r="E260" s="17" t="s">
        <v>33</v>
      </c>
      <c r="F260" s="22" t="s">
        <v>932</v>
      </c>
      <c r="G260" s="18" t="s">
        <v>10</v>
      </c>
    </row>
    <row r="261" spans="1:7" ht="31.5" x14ac:dyDescent="0.25">
      <c r="A261" s="14">
        <v>260</v>
      </c>
      <c r="B261" s="15" t="s">
        <v>933</v>
      </c>
      <c r="C261" s="16" t="s">
        <v>934</v>
      </c>
      <c r="D261" s="17" t="s">
        <v>935</v>
      </c>
      <c r="E261" s="17" t="s">
        <v>33</v>
      </c>
      <c r="F261" s="24" t="s">
        <v>936</v>
      </c>
      <c r="G261" s="18" t="s">
        <v>5</v>
      </c>
    </row>
    <row r="262" spans="1:7" ht="31.5" x14ac:dyDescent="0.25">
      <c r="A262" s="14">
        <v>261</v>
      </c>
      <c r="B262" s="15" t="s">
        <v>237</v>
      </c>
      <c r="C262" s="16" t="s">
        <v>937</v>
      </c>
      <c r="D262" s="17" t="s">
        <v>938</v>
      </c>
      <c r="E262" s="17" t="s">
        <v>33</v>
      </c>
      <c r="F262" s="24" t="s">
        <v>939</v>
      </c>
      <c r="G262" s="18" t="s">
        <v>5</v>
      </c>
    </row>
    <row r="263" spans="1:7" ht="31.5" x14ac:dyDescent="0.25">
      <c r="A263" s="14">
        <v>262</v>
      </c>
      <c r="B263" s="15" t="s">
        <v>940</v>
      </c>
      <c r="C263" s="16" t="s">
        <v>941</v>
      </c>
      <c r="D263" s="17" t="s">
        <v>942</v>
      </c>
      <c r="E263" s="17" t="s">
        <v>33</v>
      </c>
      <c r="F263" s="20" t="s">
        <v>943</v>
      </c>
      <c r="G263" s="18" t="s">
        <v>18</v>
      </c>
    </row>
    <row r="264" spans="1:7" ht="31.5" x14ac:dyDescent="0.25">
      <c r="A264" s="14">
        <v>263</v>
      </c>
      <c r="B264" s="15" t="s">
        <v>944</v>
      </c>
      <c r="C264" s="16" t="s">
        <v>945</v>
      </c>
      <c r="D264" s="17" t="s">
        <v>895</v>
      </c>
      <c r="E264" s="17" t="s">
        <v>33</v>
      </c>
      <c r="F264" s="20" t="s">
        <v>946</v>
      </c>
      <c r="G264" s="18" t="s">
        <v>7</v>
      </c>
    </row>
    <row r="265" spans="1:7" ht="31.5" x14ac:dyDescent="0.25">
      <c r="A265" s="14">
        <v>264</v>
      </c>
      <c r="B265" s="15" t="s">
        <v>947</v>
      </c>
      <c r="C265" s="16" t="s">
        <v>948</v>
      </c>
      <c r="D265" s="17" t="s">
        <v>949</v>
      </c>
      <c r="E265" s="17" t="s">
        <v>33</v>
      </c>
      <c r="F265" s="24" t="s">
        <v>950</v>
      </c>
      <c r="G265" s="18" t="s">
        <v>7</v>
      </c>
    </row>
    <row r="266" spans="1:7" x14ac:dyDescent="0.25">
      <c r="A266" s="14">
        <v>265</v>
      </c>
      <c r="B266" s="15" t="s">
        <v>951</v>
      </c>
      <c r="C266" s="16" t="s">
        <v>952</v>
      </c>
      <c r="D266" s="17" t="s">
        <v>953</v>
      </c>
      <c r="E266" s="17" t="s">
        <v>33</v>
      </c>
      <c r="F266" s="22" t="s">
        <v>954</v>
      </c>
      <c r="G266" s="18" t="s">
        <v>10</v>
      </c>
    </row>
    <row r="267" spans="1:7" ht="31.5" x14ac:dyDescent="0.25">
      <c r="A267" s="14">
        <v>266</v>
      </c>
      <c r="B267" s="15" t="s">
        <v>955</v>
      </c>
      <c r="C267" s="16" t="s">
        <v>956</v>
      </c>
      <c r="D267" s="17" t="s">
        <v>957</v>
      </c>
      <c r="E267" s="17" t="s">
        <v>33</v>
      </c>
      <c r="F267" s="20" t="s">
        <v>958</v>
      </c>
      <c r="G267" s="18" t="s">
        <v>17</v>
      </c>
    </row>
    <row r="268" spans="1:7" ht="31.5" x14ac:dyDescent="0.25">
      <c r="A268" s="14">
        <v>267</v>
      </c>
      <c r="B268" s="15" t="s">
        <v>959</v>
      </c>
      <c r="C268" s="16" t="s">
        <v>960</v>
      </c>
      <c r="D268" s="17" t="s">
        <v>961</v>
      </c>
      <c r="E268" s="17" t="s">
        <v>33</v>
      </c>
      <c r="F268" s="20" t="s">
        <v>962</v>
      </c>
      <c r="G268" s="18" t="s">
        <v>17</v>
      </c>
    </row>
    <row r="269" spans="1:7" ht="31.5" x14ac:dyDescent="0.25">
      <c r="A269" s="14">
        <v>268</v>
      </c>
      <c r="B269" s="15" t="s">
        <v>963</v>
      </c>
      <c r="C269" s="16" t="s">
        <v>964</v>
      </c>
      <c r="D269" s="17" t="s">
        <v>965</v>
      </c>
      <c r="E269" s="17" t="s">
        <v>33</v>
      </c>
      <c r="F269" s="20" t="s">
        <v>966</v>
      </c>
      <c r="G269" s="18" t="s">
        <v>14</v>
      </c>
    </row>
    <row r="270" spans="1:7" ht="31.5" x14ac:dyDescent="0.25">
      <c r="A270" s="14">
        <v>269</v>
      </c>
      <c r="B270" s="15" t="s">
        <v>344</v>
      </c>
      <c r="C270" s="16" t="s">
        <v>967</v>
      </c>
      <c r="D270" s="17" t="s">
        <v>968</v>
      </c>
      <c r="E270" s="17" t="s">
        <v>33</v>
      </c>
      <c r="F270" s="24" t="s">
        <v>969</v>
      </c>
      <c r="G270" s="18" t="s">
        <v>21</v>
      </c>
    </row>
    <row r="271" spans="1:7" ht="31.5" x14ac:dyDescent="0.25">
      <c r="A271" s="14">
        <v>270</v>
      </c>
      <c r="B271" s="15" t="s">
        <v>344</v>
      </c>
      <c r="C271" s="16" t="s">
        <v>970</v>
      </c>
      <c r="D271" s="17" t="s">
        <v>971</v>
      </c>
      <c r="E271" s="17" t="s">
        <v>33</v>
      </c>
      <c r="F271" s="24" t="s">
        <v>972</v>
      </c>
      <c r="G271" s="18" t="s">
        <v>21</v>
      </c>
    </row>
    <row r="272" spans="1:7" ht="31.5" x14ac:dyDescent="0.25">
      <c r="A272" s="14">
        <v>271</v>
      </c>
      <c r="B272" s="15" t="s">
        <v>973</v>
      </c>
      <c r="C272" s="16" t="s">
        <v>974</v>
      </c>
      <c r="D272" s="17" t="s">
        <v>975</v>
      </c>
      <c r="E272" s="17" t="s">
        <v>33</v>
      </c>
      <c r="F272" s="20" t="s">
        <v>976</v>
      </c>
      <c r="G272" s="18" t="s">
        <v>8</v>
      </c>
    </row>
    <row r="273" spans="1:7" ht="31.5" x14ac:dyDescent="0.25">
      <c r="A273" s="14">
        <v>272</v>
      </c>
      <c r="B273" s="15" t="s">
        <v>344</v>
      </c>
      <c r="C273" s="16" t="s">
        <v>977</v>
      </c>
      <c r="D273" s="17" t="s">
        <v>978</v>
      </c>
      <c r="E273" s="17" t="s">
        <v>33</v>
      </c>
      <c r="F273" s="24" t="s">
        <v>979</v>
      </c>
      <c r="G273" s="18" t="s">
        <v>8</v>
      </c>
    </row>
    <row r="274" spans="1:7" ht="31.5" x14ac:dyDescent="0.25">
      <c r="A274" s="14">
        <v>273</v>
      </c>
      <c r="B274" s="15" t="s">
        <v>344</v>
      </c>
      <c r="C274" s="16" t="s">
        <v>980</v>
      </c>
      <c r="D274" s="17" t="s">
        <v>981</v>
      </c>
      <c r="E274" s="17" t="s">
        <v>33</v>
      </c>
      <c r="F274" s="20" t="s">
        <v>982</v>
      </c>
      <c r="G274" s="18" t="s">
        <v>9</v>
      </c>
    </row>
    <row r="275" spans="1:7" ht="31.5" x14ac:dyDescent="0.25">
      <c r="A275" s="14">
        <v>274</v>
      </c>
      <c r="B275" s="15" t="s">
        <v>344</v>
      </c>
      <c r="C275" s="16" t="s">
        <v>983</v>
      </c>
      <c r="D275" s="17" t="s">
        <v>984</v>
      </c>
      <c r="E275" s="17" t="s">
        <v>33</v>
      </c>
      <c r="F275" s="20" t="s">
        <v>985</v>
      </c>
      <c r="G275" s="18" t="s">
        <v>9</v>
      </c>
    </row>
    <row r="276" spans="1:7" ht="31.5" x14ac:dyDescent="0.25">
      <c r="A276" s="14">
        <v>275</v>
      </c>
      <c r="B276" s="15" t="s">
        <v>986</v>
      </c>
      <c r="C276" s="16" t="s">
        <v>987</v>
      </c>
      <c r="D276" s="17" t="s">
        <v>988</v>
      </c>
      <c r="E276" s="17" t="s">
        <v>33</v>
      </c>
      <c r="F276" s="20" t="s">
        <v>989</v>
      </c>
      <c r="G276" s="18" t="s">
        <v>17</v>
      </c>
    </row>
    <row r="277" spans="1:7" ht="31.5" x14ac:dyDescent="0.25">
      <c r="A277" s="14">
        <v>276</v>
      </c>
      <c r="B277" s="15" t="s">
        <v>253</v>
      </c>
      <c r="C277" s="16" t="s">
        <v>990</v>
      </c>
      <c r="D277" s="17" t="s">
        <v>991</v>
      </c>
      <c r="E277" s="17" t="s">
        <v>33</v>
      </c>
      <c r="F277" s="24" t="s">
        <v>992</v>
      </c>
      <c r="G277" s="18" t="s">
        <v>9</v>
      </c>
    </row>
    <row r="278" spans="1:7" x14ac:dyDescent="0.25">
      <c r="A278" s="14">
        <v>277</v>
      </c>
      <c r="B278" s="25" t="s">
        <v>253</v>
      </c>
      <c r="C278" s="25" t="s">
        <v>993</v>
      </c>
      <c r="D278" s="26" t="s">
        <v>994</v>
      </c>
      <c r="E278" s="17" t="s">
        <v>33</v>
      </c>
      <c r="F278" s="19" t="s">
        <v>995</v>
      </c>
      <c r="G278" s="18" t="s">
        <v>9</v>
      </c>
    </row>
    <row r="279" spans="1:7" x14ac:dyDescent="0.25">
      <c r="A279" s="14">
        <v>278</v>
      </c>
      <c r="B279" s="15" t="s">
        <v>253</v>
      </c>
      <c r="C279" s="16" t="s">
        <v>996</v>
      </c>
      <c r="D279" s="17" t="s">
        <v>997</v>
      </c>
      <c r="E279" s="17" t="s">
        <v>33</v>
      </c>
      <c r="F279" s="22" t="s">
        <v>998</v>
      </c>
      <c r="G279" s="18" t="s">
        <v>4</v>
      </c>
    </row>
    <row r="280" spans="1:7" ht="31.5" x14ac:dyDescent="0.25">
      <c r="A280" s="14">
        <v>279</v>
      </c>
      <c r="B280" s="15" t="s">
        <v>299</v>
      </c>
      <c r="C280" s="16" t="s">
        <v>999</v>
      </c>
      <c r="D280" s="17" t="s">
        <v>1000</v>
      </c>
      <c r="E280" s="17" t="s">
        <v>33</v>
      </c>
      <c r="F280" s="20" t="s">
        <v>1001</v>
      </c>
      <c r="G280" s="18" t="s">
        <v>17</v>
      </c>
    </row>
    <row r="281" spans="1:7" ht="31.5" x14ac:dyDescent="0.25">
      <c r="A281" s="14">
        <v>280</v>
      </c>
      <c r="B281" s="15" t="s">
        <v>106</v>
      </c>
      <c r="C281" s="16" t="s">
        <v>1002</v>
      </c>
      <c r="D281" s="17" t="s">
        <v>1003</v>
      </c>
      <c r="E281" s="17" t="s">
        <v>33</v>
      </c>
      <c r="F281" s="20" t="s">
        <v>1004</v>
      </c>
      <c r="G281" s="18" t="s">
        <v>8</v>
      </c>
    </row>
    <row r="282" spans="1:7" ht="31.5" x14ac:dyDescent="0.25">
      <c r="A282" s="14">
        <v>281</v>
      </c>
      <c r="B282" s="15" t="s">
        <v>1005</v>
      </c>
      <c r="C282" s="16" t="s">
        <v>1006</v>
      </c>
      <c r="D282" s="17" t="s">
        <v>1007</v>
      </c>
      <c r="E282" s="17" t="s">
        <v>33</v>
      </c>
      <c r="F282" s="24" t="s">
        <v>1008</v>
      </c>
      <c r="G282" s="18" t="s">
        <v>15</v>
      </c>
    </row>
    <row r="283" spans="1:7" ht="31.5" x14ac:dyDescent="0.25">
      <c r="A283" s="14">
        <v>282</v>
      </c>
      <c r="B283" s="15" t="s">
        <v>1009</v>
      </c>
      <c r="C283" s="16" t="s">
        <v>1010</v>
      </c>
      <c r="D283" s="17" t="s">
        <v>1011</v>
      </c>
      <c r="E283" s="17" t="s">
        <v>33</v>
      </c>
      <c r="F283" s="24" t="s">
        <v>1012</v>
      </c>
      <c r="G283" s="18" t="s">
        <v>10</v>
      </c>
    </row>
    <row r="284" spans="1:7" ht="31.5" x14ac:dyDescent="0.25">
      <c r="A284" s="14">
        <v>283</v>
      </c>
      <c r="B284" s="15" t="s">
        <v>1013</v>
      </c>
      <c r="C284" s="16" t="s">
        <v>1014</v>
      </c>
      <c r="D284" s="17" t="s">
        <v>1015</v>
      </c>
      <c r="E284" s="17" t="s">
        <v>33</v>
      </c>
      <c r="F284" s="24" t="s">
        <v>1016</v>
      </c>
      <c r="G284" s="18" t="s">
        <v>17</v>
      </c>
    </row>
    <row r="285" spans="1:7" ht="31.5" x14ac:dyDescent="0.25">
      <c r="A285" s="14">
        <v>284</v>
      </c>
      <c r="B285" s="15" t="s">
        <v>361</v>
      </c>
      <c r="C285" s="16" t="s">
        <v>1017</v>
      </c>
      <c r="D285" s="17" t="s">
        <v>1018</v>
      </c>
      <c r="E285" s="17" t="s">
        <v>33</v>
      </c>
      <c r="F285" s="24" t="s">
        <v>1019</v>
      </c>
      <c r="G285" s="18" t="s">
        <v>2</v>
      </c>
    </row>
    <row r="286" spans="1:7" ht="31.5" x14ac:dyDescent="0.25">
      <c r="A286" s="14">
        <v>285</v>
      </c>
      <c r="B286" s="15" t="s">
        <v>544</v>
      </c>
      <c r="C286" s="16" t="s">
        <v>1020</v>
      </c>
      <c r="D286" s="17" t="s">
        <v>1018</v>
      </c>
      <c r="E286" s="17" t="s">
        <v>33</v>
      </c>
      <c r="F286" s="24" t="s">
        <v>1021</v>
      </c>
      <c r="G286" s="18" t="s">
        <v>2</v>
      </c>
    </row>
    <row r="287" spans="1:7" ht="31.5" x14ac:dyDescent="0.25">
      <c r="A287" s="14">
        <v>286</v>
      </c>
      <c r="B287" s="15" t="s">
        <v>237</v>
      </c>
      <c r="C287" s="16" t="s">
        <v>227</v>
      </c>
      <c r="D287" s="17" t="s">
        <v>1022</v>
      </c>
      <c r="E287" s="17" t="s">
        <v>33</v>
      </c>
      <c r="F287" s="24" t="s">
        <v>1023</v>
      </c>
      <c r="G287" s="18" t="s">
        <v>2</v>
      </c>
    </row>
    <row r="288" spans="1:7" ht="31.5" x14ac:dyDescent="0.25">
      <c r="A288" s="14">
        <v>287</v>
      </c>
      <c r="B288" s="15" t="s">
        <v>176</v>
      </c>
      <c r="C288" s="16" t="s">
        <v>1024</v>
      </c>
      <c r="D288" s="17" t="s">
        <v>1025</v>
      </c>
      <c r="E288" s="17" t="s">
        <v>33</v>
      </c>
      <c r="F288" s="24" t="s">
        <v>1026</v>
      </c>
      <c r="G288" s="18" t="s">
        <v>2</v>
      </c>
    </row>
    <row r="289" spans="1:7" ht="31.5" x14ac:dyDescent="0.25">
      <c r="A289" s="14">
        <v>288</v>
      </c>
      <c r="B289" s="15" t="s">
        <v>1027</v>
      </c>
      <c r="C289" s="16" t="s">
        <v>1028</v>
      </c>
      <c r="D289" s="17" t="s">
        <v>1029</v>
      </c>
      <c r="E289" s="17" t="s">
        <v>33</v>
      </c>
      <c r="F289" s="24" t="s">
        <v>1030</v>
      </c>
      <c r="G289" s="18" t="s">
        <v>5</v>
      </c>
    </row>
    <row r="290" spans="1:7" ht="31.5" x14ac:dyDescent="0.25">
      <c r="A290" s="14">
        <v>289</v>
      </c>
      <c r="B290" s="15" t="s">
        <v>149</v>
      </c>
      <c r="C290" s="16" t="s">
        <v>1031</v>
      </c>
      <c r="D290" s="17" t="s">
        <v>1032</v>
      </c>
      <c r="E290" s="17" t="s">
        <v>33</v>
      </c>
      <c r="F290" s="20" t="s">
        <v>1033</v>
      </c>
      <c r="G290" s="18" t="s">
        <v>17</v>
      </c>
    </row>
    <row r="291" spans="1:7" ht="31.5" x14ac:dyDescent="0.25">
      <c r="A291" s="14">
        <v>290</v>
      </c>
      <c r="B291" s="15" t="s">
        <v>344</v>
      </c>
      <c r="C291" s="16" t="s">
        <v>1034</v>
      </c>
      <c r="D291" s="17" t="s">
        <v>1035</v>
      </c>
      <c r="E291" s="17" t="s">
        <v>33</v>
      </c>
      <c r="F291" s="20" t="s">
        <v>1036</v>
      </c>
      <c r="G291" s="18" t="s">
        <v>21</v>
      </c>
    </row>
    <row r="292" spans="1:7" x14ac:dyDescent="0.25">
      <c r="A292" s="14">
        <v>291</v>
      </c>
      <c r="B292" s="15" t="s">
        <v>1037</v>
      </c>
      <c r="C292" s="16" t="s">
        <v>1038</v>
      </c>
      <c r="D292" s="17" t="s">
        <v>1039</v>
      </c>
      <c r="E292" s="17" t="s">
        <v>33</v>
      </c>
      <c r="F292" s="19" t="s">
        <v>1040</v>
      </c>
      <c r="G292" s="18" t="s">
        <v>8</v>
      </c>
    </row>
    <row r="293" spans="1:7" ht="31.5" x14ac:dyDescent="0.25">
      <c r="A293" s="14">
        <v>292</v>
      </c>
      <c r="B293" s="15" t="s">
        <v>237</v>
      </c>
      <c r="C293" s="16" t="s">
        <v>1041</v>
      </c>
      <c r="D293" s="17" t="s">
        <v>1042</v>
      </c>
      <c r="E293" s="17" t="s">
        <v>33</v>
      </c>
      <c r="F293" s="24" t="s">
        <v>1043</v>
      </c>
      <c r="G293" s="18" t="s">
        <v>16</v>
      </c>
    </row>
    <row r="294" spans="1:7" ht="31.5" x14ac:dyDescent="0.25">
      <c r="A294" s="14">
        <v>293</v>
      </c>
      <c r="B294" s="15" t="s">
        <v>145</v>
      </c>
      <c r="C294" s="16" t="s">
        <v>1044</v>
      </c>
      <c r="D294" s="17" t="s">
        <v>1045</v>
      </c>
      <c r="E294" s="17" t="s">
        <v>33</v>
      </c>
      <c r="F294" s="24" t="s">
        <v>1046</v>
      </c>
      <c r="G294" s="18" t="s">
        <v>10</v>
      </c>
    </row>
    <row r="295" spans="1:7" ht="31.5" x14ac:dyDescent="0.25">
      <c r="A295" s="14">
        <v>294</v>
      </c>
      <c r="B295" s="15" t="s">
        <v>361</v>
      </c>
      <c r="C295" s="16" t="s">
        <v>1047</v>
      </c>
      <c r="D295" s="17" t="s">
        <v>1048</v>
      </c>
      <c r="E295" s="17" t="s">
        <v>33</v>
      </c>
      <c r="F295" s="20" t="s">
        <v>1049</v>
      </c>
      <c r="G295" s="18" t="s">
        <v>13</v>
      </c>
    </row>
    <row r="296" spans="1:7" ht="31.5" x14ac:dyDescent="0.25">
      <c r="A296" s="14">
        <v>295</v>
      </c>
      <c r="B296" s="15" t="s">
        <v>299</v>
      </c>
      <c r="C296" s="16" t="s">
        <v>1050</v>
      </c>
      <c r="D296" s="17" t="s">
        <v>1051</v>
      </c>
      <c r="E296" s="17" t="s">
        <v>33</v>
      </c>
      <c r="F296" s="20" t="s">
        <v>1052</v>
      </c>
      <c r="G296" s="18" t="s">
        <v>17</v>
      </c>
    </row>
    <row r="297" spans="1:7" ht="31.5" customHeight="1" x14ac:dyDescent="0.25">
      <c r="A297" s="14">
        <v>296</v>
      </c>
      <c r="B297" s="15" t="s">
        <v>56</v>
      </c>
      <c r="C297" s="16" t="s">
        <v>1053</v>
      </c>
      <c r="D297" s="17" t="s">
        <v>1054</v>
      </c>
      <c r="E297" s="17" t="s">
        <v>33</v>
      </c>
      <c r="F297" s="20" t="s">
        <v>1055</v>
      </c>
      <c r="G297" s="18" t="s">
        <v>17</v>
      </c>
    </row>
    <row r="298" spans="1:7" ht="31.5" x14ac:dyDescent="0.25">
      <c r="A298" s="14">
        <v>297</v>
      </c>
      <c r="B298" s="15" t="s">
        <v>56</v>
      </c>
      <c r="C298" s="16" t="s">
        <v>1056</v>
      </c>
      <c r="D298" s="17" t="s">
        <v>1057</v>
      </c>
      <c r="E298" s="17" t="s">
        <v>33</v>
      </c>
      <c r="F298" s="24" t="s">
        <v>1058</v>
      </c>
      <c r="G298" s="18" t="s">
        <v>17</v>
      </c>
    </row>
    <row r="299" spans="1:7" ht="31.5" x14ac:dyDescent="0.25">
      <c r="A299" s="14">
        <v>298</v>
      </c>
      <c r="B299" s="15" t="s">
        <v>1059</v>
      </c>
      <c r="C299" s="16" t="s">
        <v>1060</v>
      </c>
      <c r="D299" s="17" t="s">
        <v>895</v>
      </c>
      <c r="E299" s="17" t="s">
        <v>33</v>
      </c>
      <c r="F299" s="20" t="s">
        <v>1061</v>
      </c>
      <c r="G299" s="18" t="s">
        <v>7</v>
      </c>
    </row>
    <row r="300" spans="1:7" ht="31.5" customHeight="1" x14ac:dyDescent="0.25">
      <c r="A300" s="14">
        <v>299</v>
      </c>
      <c r="B300" s="15" t="s">
        <v>325</v>
      </c>
      <c r="C300" s="16" t="s">
        <v>1062</v>
      </c>
      <c r="D300" s="17" t="s">
        <v>1063</v>
      </c>
      <c r="E300" s="17" t="s">
        <v>33</v>
      </c>
      <c r="F300" s="20" t="s">
        <v>1064</v>
      </c>
      <c r="G300" s="18" t="s">
        <v>17</v>
      </c>
    </row>
    <row r="301" spans="1:7" ht="31.5" x14ac:dyDescent="0.25">
      <c r="A301" s="14">
        <v>300</v>
      </c>
      <c r="B301" s="15" t="s">
        <v>1065</v>
      </c>
      <c r="C301" s="16" t="s">
        <v>1066</v>
      </c>
      <c r="D301" s="17" t="s">
        <v>1067</v>
      </c>
      <c r="E301" s="17" t="s">
        <v>33</v>
      </c>
      <c r="F301" s="20" t="s">
        <v>1068</v>
      </c>
      <c r="G301" s="18" t="s">
        <v>13</v>
      </c>
    </row>
    <row r="302" spans="1:7" ht="31.5" customHeight="1" x14ac:dyDescent="0.25">
      <c r="A302" s="14">
        <v>301</v>
      </c>
      <c r="B302" s="15" t="s">
        <v>361</v>
      </c>
      <c r="C302" s="16" t="s">
        <v>1069</v>
      </c>
      <c r="D302" s="17" t="s">
        <v>1070</v>
      </c>
      <c r="E302" s="17" t="s">
        <v>33</v>
      </c>
      <c r="F302" s="24" t="s">
        <v>1071</v>
      </c>
      <c r="G302" s="18" t="s">
        <v>17</v>
      </c>
    </row>
    <row r="303" spans="1:7" ht="31.5" x14ac:dyDescent="0.25">
      <c r="A303" s="14">
        <v>302</v>
      </c>
      <c r="B303" s="15" t="s">
        <v>1072</v>
      </c>
      <c r="C303" s="16" t="s">
        <v>1073</v>
      </c>
      <c r="D303" s="17" t="s">
        <v>1074</v>
      </c>
      <c r="E303" s="17" t="s">
        <v>33</v>
      </c>
      <c r="F303" s="20" t="s">
        <v>1075</v>
      </c>
      <c r="G303" s="18" t="s">
        <v>17</v>
      </c>
    </row>
    <row r="304" spans="1:7" ht="31.5" x14ac:dyDescent="0.25">
      <c r="A304" s="14">
        <v>303</v>
      </c>
      <c r="B304" s="15" t="s">
        <v>176</v>
      </c>
      <c r="C304" s="16" t="s">
        <v>1076</v>
      </c>
      <c r="D304" s="17" t="s">
        <v>1077</v>
      </c>
      <c r="E304" s="17" t="s">
        <v>33</v>
      </c>
      <c r="F304" s="24" t="s">
        <v>1078</v>
      </c>
      <c r="G304" s="18" t="s">
        <v>3</v>
      </c>
    </row>
    <row r="305" spans="1:7" ht="31.5" x14ac:dyDescent="0.25">
      <c r="A305" s="14">
        <v>304</v>
      </c>
      <c r="B305" s="15" t="s">
        <v>109</v>
      </c>
      <c r="C305" s="16" t="s">
        <v>1079</v>
      </c>
      <c r="D305" s="17" t="s">
        <v>1080</v>
      </c>
      <c r="E305" s="17" t="s">
        <v>33</v>
      </c>
      <c r="F305" s="24" t="s">
        <v>1081</v>
      </c>
      <c r="G305" s="18" t="s">
        <v>10</v>
      </c>
    </row>
    <row r="306" spans="1:7" ht="31.5" x14ac:dyDescent="0.25">
      <c r="A306" s="14">
        <v>305</v>
      </c>
      <c r="B306" s="15" t="s">
        <v>299</v>
      </c>
      <c r="C306" s="16" t="s">
        <v>1082</v>
      </c>
      <c r="D306" s="17" t="s">
        <v>1083</v>
      </c>
      <c r="E306" s="17" t="s">
        <v>33</v>
      </c>
      <c r="F306" s="20" t="s">
        <v>1084</v>
      </c>
      <c r="G306" s="18" t="s">
        <v>14</v>
      </c>
    </row>
    <row r="307" spans="1:7" ht="31.5" x14ac:dyDescent="0.25">
      <c r="A307" s="14">
        <v>306</v>
      </c>
      <c r="B307" s="15" t="s">
        <v>56</v>
      </c>
      <c r="C307" s="16" t="s">
        <v>1085</v>
      </c>
      <c r="D307" s="17" t="s">
        <v>1086</v>
      </c>
      <c r="E307" s="17" t="s">
        <v>33</v>
      </c>
      <c r="F307" s="24" t="s">
        <v>1087</v>
      </c>
      <c r="G307" s="18" t="s">
        <v>2</v>
      </c>
    </row>
    <row r="308" spans="1:7" ht="31.5" x14ac:dyDescent="0.25">
      <c r="A308" s="14">
        <v>307</v>
      </c>
      <c r="B308" s="15" t="s">
        <v>56</v>
      </c>
      <c r="C308" s="16" t="s">
        <v>1088</v>
      </c>
      <c r="D308" s="17" t="s">
        <v>1089</v>
      </c>
      <c r="E308" s="17" t="s">
        <v>33</v>
      </c>
      <c r="F308" s="24" t="s">
        <v>1090</v>
      </c>
      <c r="G308" s="18" t="s">
        <v>8</v>
      </c>
    </row>
    <row r="309" spans="1:7" ht="31.5" x14ac:dyDescent="0.25">
      <c r="A309" s="14">
        <v>308</v>
      </c>
      <c r="B309" s="15" t="s">
        <v>56</v>
      </c>
      <c r="C309" s="16" t="s">
        <v>1091</v>
      </c>
      <c r="D309" s="17" t="s">
        <v>1092</v>
      </c>
      <c r="E309" s="17" t="s">
        <v>33</v>
      </c>
      <c r="F309" s="20" t="s">
        <v>1093</v>
      </c>
      <c r="G309" s="18" t="s">
        <v>8</v>
      </c>
    </row>
    <row r="310" spans="1:7" ht="31.5" x14ac:dyDescent="0.25">
      <c r="A310" s="14">
        <v>309</v>
      </c>
      <c r="B310" s="15" t="s">
        <v>56</v>
      </c>
      <c r="C310" s="16" t="s">
        <v>1094</v>
      </c>
      <c r="D310" s="17" t="s">
        <v>1095</v>
      </c>
      <c r="E310" s="17" t="s">
        <v>33</v>
      </c>
      <c r="F310" s="24" t="s">
        <v>1096</v>
      </c>
      <c r="G310" s="18" t="s">
        <v>8</v>
      </c>
    </row>
    <row r="311" spans="1:7" ht="31.5" x14ac:dyDescent="0.25">
      <c r="A311" s="14">
        <v>310</v>
      </c>
      <c r="B311" s="15" t="s">
        <v>56</v>
      </c>
      <c r="C311" s="16" t="s">
        <v>1097</v>
      </c>
      <c r="D311" s="17" t="s">
        <v>1098</v>
      </c>
      <c r="E311" s="17" t="s">
        <v>33</v>
      </c>
      <c r="F311" s="20" t="s">
        <v>1099</v>
      </c>
      <c r="G311" s="18" t="s">
        <v>8</v>
      </c>
    </row>
    <row r="312" spans="1:7" x14ac:dyDescent="0.25">
      <c r="A312" s="14">
        <v>311</v>
      </c>
      <c r="B312" s="15" t="s">
        <v>1100</v>
      </c>
      <c r="C312" s="16" t="s">
        <v>1101</v>
      </c>
      <c r="D312" s="17" t="s">
        <v>135</v>
      </c>
      <c r="E312" s="17" t="s">
        <v>33</v>
      </c>
      <c r="F312" s="22" t="s">
        <v>1102</v>
      </c>
      <c r="G312" s="18" t="s">
        <v>21</v>
      </c>
    </row>
    <row r="313" spans="1:7" ht="31.5" x14ac:dyDescent="0.25">
      <c r="A313" s="14">
        <v>312</v>
      </c>
      <c r="B313" s="15" t="s">
        <v>1065</v>
      </c>
      <c r="C313" s="16" t="s">
        <v>1103</v>
      </c>
      <c r="D313" s="17" t="s">
        <v>1104</v>
      </c>
      <c r="E313" s="17" t="s">
        <v>33</v>
      </c>
      <c r="F313" s="19" t="s">
        <v>1105</v>
      </c>
      <c r="G313" s="18" t="s">
        <v>18</v>
      </c>
    </row>
    <row r="314" spans="1:7" ht="31.5" x14ac:dyDescent="0.25">
      <c r="A314" s="14">
        <v>313</v>
      </c>
      <c r="B314" s="15" t="s">
        <v>1106</v>
      </c>
      <c r="C314" s="16" t="s">
        <v>1107</v>
      </c>
      <c r="D314" s="17" t="s">
        <v>1108</v>
      </c>
      <c r="E314" s="17" t="s">
        <v>33</v>
      </c>
      <c r="F314" s="20" t="s">
        <v>1109</v>
      </c>
      <c r="G314" s="18" t="s">
        <v>17</v>
      </c>
    </row>
    <row r="315" spans="1:7" ht="31.5" x14ac:dyDescent="0.25">
      <c r="A315" s="14">
        <v>314</v>
      </c>
      <c r="B315" s="15" t="s">
        <v>1100</v>
      </c>
      <c r="C315" s="16" t="s">
        <v>1110</v>
      </c>
      <c r="D315" s="17" t="s">
        <v>1111</v>
      </c>
      <c r="E315" s="17" t="s">
        <v>33</v>
      </c>
      <c r="F315" s="20" t="s">
        <v>1112</v>
      </c>
      <c r="G315" s="18" t="s">
        <v>17</v>
      </c>
    </row>
    <row r="316" spans="1:7" ht="31.5" x14ac:dyDescent="0.25">
      <c r="A316" s="14">
        <v>315</v>
      </c>
      <c r="B316" s="15" t="s">
        <v>344</v>
      </c>
      <c r="C316" s="16" t="s">
        <v>1113</v>
      </c>
      <c r="D316" s="17" t="s">
        <v>1114</v>
      </c>
      <c r="E316" s="17" t="s">
        <v>33</v>
      </c>
      <c r="F316" s="20" t="s">
        <v>1115</v>
      </c>
      <c r="G316" s="18" t="s">
        <v>17</v>
      </c>
    </row>
    <row r="317" spans="1:7" ht="31.5" x14ac:dyDescent="0.25">
      <c r="A317" s="14">
        <v>316</v>
      </c>
      <c r="B317" s="15" t="s">
        <v>56</v>
      </c>
      <c r="C317" s="16" t="s">
        <v>1116</v>
      </c>
      <c r="D317" s="17" t="s">
        <v>1117</v>
      </c>
      <c r="E317" s="17" t="s">
        <v>33</v>
      </c>
      <c r="F317" s="20" t="s">
        <v>1118</v>
      </c>
      <c r="G317" s="18" t="s">
        <v>19</v>
      </c>
    </row>
    <row r="318" spans="1:7" ht="31.5" x14ac:dyDescent="0.25">
      <c r="A318" s="14">
        <v>317</v>
      </c>
      <c r="B318" s="15" t="s">
        <v>237</v>
      </c>
      <c r="C318" s="16" t="s">
        <v>1119</v>
      </c>
      <c r="D318" s="17" t="s">
        <v>1120</v>
      </c>
      <c r="E318" s="17" t="s">
        <v>33</v>
      </c>
      <c r="F318" s="20" t="s">
        <v>1121</v>
      </c>
      <c r="G318" s="18" t="s">
        <v>11</v>
      </c>
    </row>
    <row r="319" spans="1:7" ht="31.5" customHeight="1" x14ac:dyDescent="0.25">
      <c r="A319" s="14">
        <v>318</v>
      </c>
      <c r="B319" s="15" t="s">
        <v>1065</v>
      </c>
      <c r="C319" s="16" t="s">
        <v>1122</v>
      </c>
      <c r="D319" s="17" t="s">
        <v>1123</v>
      </c>
      <c r="E319" s="17" t="s">
        <v>33</v>
      </c>
      <c r="F319" s="24" t="s">
        <v>1124</v>
      </c>
      <c r="G319" s="18" t="s">
        <v>17</v>
      </c>
    </row>
    <row r="320" spans="1:7" ht="31.5" customHeight="1" x14ac:dyDescent="0.25">
      <c r="A320" s="14">
        <v>319</v>
      </c>
      <c r="B320" s="15" t="s">
        <v>321</v>
      </c>
      <c r="C320" s="16" t="s">
        <v>1125</v>
      </c>
      <c r="D320" s="17" t="s">
        <v>1126</v>
      </c>
      <c r="E320" s="17" t="s">
        <v>33</v>
      </c>
      <c r="F320" s="20" t="s">
        <v>1127</v>
      </c>
      <c r="G320" s="18" t="s">
        <v>17</v>
      </c>
    </row>
    <row r="321" spans="1:7" ht="31.5" x14ac:dyDescent="0.25">
      <c r="A321" s="14">
        <v>320</v>
      </c>
      <c r="B321" s="15" t="s">
        <v>1128</v>
      </c>
      <c r="C321" s="16" t="s">
        <v>1129</v>
      </c>
      <c r="D321" s="17" t="s">
        <v>1130</v>
      </c>
      <c r="E321" s="17" t="s">
        <v>33</v>
      </c>
      <c r="F321" s="24" t="s">
        <v>1131</v>
      </c>
      <c r="G321" s="18" t="s">
        <v>20</v>
      </c>
    </row>
    <row r="322" spans="1:7" ht="31.5" x14ac:dyDescent="0.25">
      <c r="A322" s="14">
        <v>321</v>
      </c>
      <c r="B322" s="15" t="s">
        <v>955</v>
      </c>
      <c r="C322" s="16" t="s">
        <v>1132</v>
      </c>
      <c r="D322" s="17" t="s">
        <v>1133</v>
      </c>
      <c r="E322" s="17" t="s">
        <v>33</v>
      </c>
      <c r="F322" s="19" t="s">
        <v>1134</v>
      </c>
      <c r="G322" s="18" t="s">
        <v>9</v>
      </c>
    </row>
    <row r="323" spans="1:7" ht="31.5" x14ac:dyDescent="0.25">
      <c r="A323" s="14">
        <v>322</v>
      </c>
      <c r="B323" s="15" t="s">
        <v>1135</v>
      </c>
      <c r="C323" s="16" t="s">
        <v>1136</v>
      </c>
      <c r="D323" s="17" t="s">
        <v>1137</v>
      </c>
      <c r="E323" s="17" t="s">
        <v>33</v>
      </c>
      <c r="F323" s="20" t="s">
        <v>1138</v>
      </c>
      <c r="G323" s="18" t="s">
        <v>17</v>
      </c>
    </row>
    <row r="324" spans="1:7" ht="31.5" x14ac:dyDescent="0.25">
      <c r="A324" s="14">
        <v>323</v>
      </c>
      <c r="B324" s="15" t="s">
        <v>1139</v>
      </c>
      <c r="C324" s="16" t="s">
        <v>1140</v>
      </c>
      <c r="D324" s="17" t="s">
        <v>1141</v>
      </c>
      <c r="E324" s="17" t="s">
        <v>33</v>
      </c>
      <c r="F324" s="20" t="s">
        <v>1142</v>
      </c>
      <c r="G324" s="18" t="s">
        <v>12</v>
      </c>
    </row>
    <row r="325" spans="1:7" x14ac:dyDescent="0.25">
      <c r="A325" s="14">
        <v>324</v>
      </c>
      <c r="B325" s="15" t="s">
        <v>642</v>
      </c>
      <c r="C325" s="16" t="s">
        <v>1143</v>
      </c>
      <c r="D325" s="17" t="s">
        <v>1144</v>
      </c>
      <c r="E325" s="17" t="s">
        <v>33</v>
      </c>
      <c r="F325" s="22" t="s">
        <v>1145</v>
      </c>
      <c r="G325" s="18" t="s">
        <v>9</v>
      </c>
    </row>
    <row r="326" spans="1:7" ht="31.5" x14ac:dyDescent="0.25">
      <c r="A326" s="14">
        <v>325</v>
      </c>
      <c r="B326" s="15" t="s">
        <v>1146</v>
      </c>
      <c r="C326" s="16" t="s">
        <v>411</v>
      </c>
      <c r="D326" s="17" t="s">
        <v>1147</v>
      </c>
      <c r="E326" s="17" t="s">
        <v>33</v>
      </c>
      <c r="F326" s="20" t="s">
        <v>1148</v>
      </c>
      <c r="G326" s="18" t="s">
        <v>14</v>
      </c>
    </row>
    <row r="327" spans="1:7" ht="31.5" x14ac:dyDescent="0.25">
      <c r="A327" s="14">
        <v>326</v>
      </c>
      <c r="B327" s="15" t="s">
        <v>56</v>
      </c>
      <c r="C327" s="16" t="s">
        <v>1149</v>
      </c>
      <c r="D327" s="17" t="s">
        <v>1150</v>
      </c>
      <c r="E327" s="17" t="s">
        <v>33</v>
      </c>
      <c r="F327" s="24" t="s">
        <v>1151</v>
      </c>
      <c r="G327" s="18" t="s">
        <v>8</v>
      </c>
    </row>
    <row r="328" spans="1:7" ht="31.5" x14ac:dyDescent="0.25">
      <c r="A328" s="14">
        <v>327</v>
      </c>
      <c r="B328" s="15" t="s">
        <v>1065</v>
      </c>
      <c r="C328" s="16" t="s">
        <v>1152</v>
      </c>
      <c r="D328" s="17" t="s">
        <v>1153</v>
      </c>
      <c r="E328" s="17" t="s">
        <v>33</v>
      </c>
      <c r="F328" s="20" t="s">
        <v>1154</v>
      </c>
      <c r="G328" s="18" t="s">
        <v>17</v>
      </c>
    </row>
    <row r="329" spans="1:7" x14ac:dyDescent="0.25">
      <c r="A329" s="14">
        <v>328</v>
      </c>
      <c r="B329" s="15" t="s">
        <v>387</v>
      </c>
      <c r="C329" s="16" t="s">
        <v>1155</v>
      </c>
      <c r="D329" s="17" t="s">
        <v>1156</v>
      </c>
      <c r="E329" s="17" t="s">
        <v>33</v>
      </c>
      <c r="F329" s="19" t="s">
        <v>1157</v>
      </c>
      <c r="G329" s="18" t="s">
        <v>21</v>
      </c>
    </row>
    <row r="330" spans="1:7" x14ac:dyDescent="0.25">
      <c r="A330" s="14">
        <v>329</v>
      </c>
      <c r="B330" s="15" t="s">
        <v>106</v>
      </c>
      <c r="C330" s="16" t="s">
        <v>1158</v>
      </c>
      <c r="D330" s="17" t="s">
        <v>1159</v>
      </c>
      <c r="E330" s="17" t="s">
        <v>33</v>
      </c>
      <c r="F330" s="19" t="s">
        <v>1160</v>
      </c>
      <c r="G330" s="18" t="s">
        <v>7</v>
      </c>
    </row>
    <row r="331" spans="1:7" ht="31.5" x14ac:dyDescent="0.25">
      <c r="A331" s="14">
        <v>330</v>
      </c>
      <c r="B331" s="15" t="s">
        <v>284</v>
      </c>
      <c r="C331" s="16" t="s">
        <v>1161</v>
      </c>
      <c r="D331" s="17" t="s">
        <v>1162</v>
      </c>
      <c r="E331" s="17" t="s">
        <v>33</v>
      </c>
      <c r="F331" s="20" t="s">
        <v>1163</v>
      </c>
      <c r="G331" s="18" t="s">
        <v>5</v>
      </c>
    </row>
    <row r="332" spans="1:7" ht="31.5" x14ac:dyDescent="0.25">
      <c r="A332" s="14">
        <v>331</v>
      </c>
      <c r="B332" s="15" t="s">
        <v>1164</v>
      </c>
      <c r="C332" s="16" t="s">
        <v>1165</v>
      </c>
      <c r="D332" s="17" t="s">
        <v>1166</v>
      </c>
      <c r="E332" s="17" t="s">
        <v>33</v>
      </c>
      <c r="F332" s="20" t="s">
        <v>1167</v>
      </c>
      <c r="G332" s="18" t="s">
        <v>14</v>
      </c>
    </row>
    <row r="333" spans="1:7" x14ac:dyDescent="0.25">
      <c r="A333" s="14">
        <v>332</v>
      </c>
      <c r="B333" s="15" t="s">
        <v>1168</v>
      </c>
      <c r="C333" s="16" t="s">
        <v>1169</v>
      </c>
      <c r="D333" s="17" t="s">
        <v>1170</v>
      </c>
      <c r="E333" s="17" t="s">
        <v>33</v>
      </c>
      <c r="F333" s="22" t="s">
        <v>1171</v>
      </c>
      <c r="G333" s="18" t="s">
        <v>17</v>
      </c>
    </row>
    <row r="334" spans="1:7" ht="31.5" x14ac:dyDescent="0.25">
      <c r="A334" s="14">
        <v>333</v>
      </c>
      <c r="B334" s="15" t="s">
        <v>1172</v>
      </c>
      <c r="C334" s="16" t="s">
        <v>1173</v>
      </c>
      <c r="D334" s="17" t="s">
        <v>1174</v>
      </c>
      <c r="E334" s="17" t="s">
        <v>33</v>
      </c>
      <c r="F334" s="19" t="s">
        <v>1175</v>
      </c>
      <c r="G334" s="18" t="s">
        <v>14</v>
      </c>
    </row>
    <row r="335" spans="1:7" ht="31.5" x14ac:dyDescent="0.25">
      <c r="A335" s="14">
        <v>334</v>
      </c>
      <c r="B335" s="15" t="s">
        <v>1176</v>
      </c>
      <c r="C335" s="16" t="s">
        <v>1177</v>
      </c>
      <c r="D335" s="17" t="s">
        <v>1178</v>
      </c>
      <c r="E335" s="17" t="s">
        <v>33</v>
      </c>
      <c r="F335" s="20" t="s">
        <v>1179</v>
      </c>
      <c r="G335" s="18" t="s">
        <v>17</v>
      </c>
    </row>
    <row r="336" spans="1:7" ht="31.5" x14ac:dyDescent="0.25">
      <c r="A336" s="14">
        <v>335</v>
      </c>
      <c r="B336" s="15" t="s">
        <v>1180</v>
      </c>
      <c r="C336" s="16" t="s">
        <v>1181</v>
      </c>
      <c r="D336" s="17" t="s">
        <v>1182</v>
      </c>
      <c r="E336" s="17" t="s">
        <v>33</v>
      </c>
      <c r="F336" s="20" t="s">
        <v>1183</v>
      </c>
      <c r="G336" s="18" t="s">
        <v>7</v>
      </c>
    </row>
    <row r="337" spans="1:7" ht="31.5" x14ac:dyDescent="0.25">
      <c r="A337" s="14">
        <v>336</v>
      </c>
      <c r="B337" s="15" t="s">
        <v>145</v>
      </c>
      <c r="C337" s="16" t="s">
        <v>1184</v>
      </c>
      <c r="D337" s="17" t="s">
        <v>1185</v>
      </c>
      <c r="E337" s="17" t="s">
        <v>33</v>
      </c>
      <c r="F337" s="20" t="s">
        <v>1186</v>
      </c>
      <c r="G337" s="18" t="s">
        <v>17</v>
      </c>
    </row>
    <row r="338" spans="1:7" ht="31.5" x14ac:dyDescent="0.25">
      <c r="A338" s="14">
        <v>337</v>
      </c>
      <c r="B338" s="15" t="s">
        <v>344</v>
      </c>
      <c r="C338" s="16" t="s">
        <v>1187</v>
      </c>
      <c r="D338" s="17" t="s">
        <v>1188</v>
      </c>
      <c r="E338" s="17" t="s">
        <v>33</v>
      </c>
      <c r="F338" s="22" t="s">
        <v>1189</v>
      </c>
      <c r="G338" s="18" t="s">
        <v>10</v>
      </c>
    </row>
    <row r="339" spans="1:7" ht="31.5" x14ac:dyDescent="0.25">
      <c r="A339" s="14">
        <v>338</v>
      </c>
      <c r="B339" s="15" t="s">
        <v>1190</v>
      </c>
      <c r="C339" s="16" t="s">
        <v>1191</v>
      </c>
      <c r="D339" s="17" t="s">
        <v>1192</v>
      </c>
      <c r="E339" s="17" t="s">
        <v>33</v>
      </c>
      <c r="F339" s="20" t="s">
        <v>1193</v>
      </c>
      <c r="G339" s="18" t="s">
        <v>2</v>
      </c>
    </row>
    <row r="340" spans="1:7" ht="31.5" x14ac:dyDescent="0.25">
      <c r="A340" s="14">
        <v>339</v>
      </c>
      <c r="B340" s="15" t="s">
        <v>1194</v>
      </c>
      <c r="C340" s="16" t="s">
        <v>1195</v>
      </c>
      <c r="D340" s="17" t="s">
        <v>1196</v>
      </c>
      <c r="E340" s="17" t="s">
        <v>33</v>
      </c>
      <c r="F340" s="20" t="s">
        <v>1197</v>
      </c>
      <c r="G340" s="18" t="s">
        <v>9</v>
      </c>
    </row>
    <row r="341" spans="1:7" ht="31.5" x14ac:dyDescent="0.25">
      <c r="A341" s="14">
        <v>340</v>
      </c>
      <c r="B341" s="15" t="s">
        <v>1198</v>
      </c>
      <c r="C341" s="16" t="s">
        <v>1199</v>
      </c>
      <c r="D341" s="17" t="s">
        <v>1200</v>
      </c>
      <c r="E341" s="17" t="s">
        <v>33</v>
      </c>
      <c r="F341" s="20" t="s">
        <v>1201</v>
      </c>
      <c r="G341" s="18" t="s">
        <v>17</v>
      </c>
    </row>
    <row r="342" spans="1:7" ht="31.5" x14ac:dyDescent="0.25">
      <c r="A342" s="14">
        <v>341</v>
      </c>
      <c r="B342" s="15" t="s">
        <v>1202</v>
      </c>
      <c r="C342" s="16" t="s">
        <v>1203</v>
      </c>
      <c r="D342" s="17" t="s">
        <v>1204</v>
      </c>
      <c r="E342" s="17" t="s">
        <v>33</v>
      </c>
      <c r="F342" s="20" t="s">
        <v>1205</v>
      </c>
      <c r="G342" s="18" t="s">
        <v>17</v>
      </c>
    </row>
    <row r="343" spans="1:7" ht="31.5" x14ac:dyDescent="0.25">
      <c r="A343" s="14">
        <v>342</v>
      </c>
      <c r="B343" s="15" t="s">
        <v>1206</v>
      </c>
      <c r="C343" s="16" t="s">
        <v>1207</v>
      </c>
      <c r="D343" s="17" t="s">
        <v>1208</v>
      </c>
      <c r="E343" s="17" t="s">
        <v>33</v>
      </c>
      <c r="F343" s="20" t="s">
        <v>1209</v>
      </c>
      <c r="G343" s="18" t="s">
        <v>17</v>
      </c>
    </row>
    <row r="344" spans="1:7" ht="31.5" x14ac:dyDescent="0.25">
      <c r="A344" s="14">
        <v>343</v>
      </c>
      <c r="B344" s="15" t="s">
        <v>1210</v>
      </c>
      <c r="C344" s="16" t="s">
        <v>1211</v>
      </c>
      <c r="D344" s="17" t="s">
        <v>1212</v>
      </c>
      <c r="E344" s="17" t="s">
        <v>33</v>
      </c>
      <c r="F344" s="20" t="s">
        <v>1213</v>
      </c>
      <c r="G344" s="18" t="s">
        <v>19</v>
      </c>
    </row>
    <row r="345" spans="1:7" ht="31.5" x14ac:dyDescent="0.25">
      <c r="A345" s="14">
        <v>344</v>
      </c>
      <c r="B345" s="15" t="s">
        <v>109</v>
      </c>
      <c r="C345" s="16" t="s">
        <v>1214</v>
      </c>
      <c r="D345" s="17" t="s">
        <v>1215</v>
      </c>
      <c r="E345" s="17" t="s">
        <v>33</v>
      </c>
      <c r="F345" s="20" t="s">
        <v>1216</v>
      </c>
      <c r="G345" s="18" t="s">
        <v>17</v>
      </c>
    </row>
    <row r="346" spans="1:7" ht="31.5" x14ac:dyDescent="0.25">
      <c r="A346" s="14">
        <v>345</v>
      </c>
      <c r="B346" s="15" t="s">
        <v>284</v>
      </c>
      <c r="C346" s="16" t="s">
        <v>1217</v>
      </c>
      <c r="D346" s="17" t="s">
        <v>1218</v>
      </c>
      <c r="E346" s="17" t="s">
        <v>33</v>
      </c>
      <c r="F346" s="20" t="s">
        <v>1219</v>
      </c>
      <c r="G346" s="18" t="s">
        <v>18</v>
      </c>
    </row>
    <row r="347" spans="1:7" ht="31.5" x14ac:dyDescent="0.25">
      <c r="A347" s="14">
        <v>346</v>
      </c>
      <c r="B347" s="15" t="s">
        <v>145</v>
      </c>
      <c r="C347" s="16" t="s">
        <v>1220</v>
      </c>
      <c r="D347" s="17" t="s">
        <v>1221</v>
      </c>
      <c r="E347" s="17" t="s">
        <v>33</v>
      </c>
      <c r="F347" s="20" t="s">
        <v>1222</v>
      </c>
      <c r="G347" s="18" t="s">
        <v>17</v>
      </c>
    </row>
    <row r="348" spans="1:7" ht="31.5" x14ac:dyDescent="0.25">
      <c r="A348" s="14">
        <v>347</v>
      </c>
      <c r="B348" s="15" t="s">
        <v>145</v>
      </c>
      <c r="C348" s="16" t="s">
        <v>1223</v>
      </c>
      <c r="D348" s="17" t="s">
        <v>1224</v>
      </c>
      <c r="E348" s="17" t="s">
        <v>33</v>
      </c>
      <c r="F348" s="24" t="s">
        <v>1225</v>
      </c>
      <c r="G348" s="18" t="s">
        <v>15</v>
      </c>
    </row>
    <row r="349" spans="1:7" ht="31.5" x14ac:dyDescent="0.25">
      <c r="A349" s="14">
        <v>348</v>
      </c>
      <c r="B349" s="15" t="s">
        <v>344</v>
      </c>
      <c r="C349" s="16" t="s">
        <v>1226</v>
      </c>
      <c r="D349" s="17" t="s">
        <v>1188</v>
      </c>
      <c r="E349" s="17" t="s">
        <v>33</v>
      </c>
      <c r="F349" s="24" t="s">
        <v>1227</v>
      </c>
      <c r="G349" s="18" t="s">
        <v>10</v>
      </c>
    </row>
    <row r="350" spans="1:7" ht="31.5" x14ac:dyDescent="0.25">
      <c r="A350" s="14">
        <v>349</v>
      </c>
      <c r="B350" s="15" t="s">
        <v>1228</v>
      </c>
      <c r="C350" s="16" t="s">
        <v>1229</v>
      </c>
      <c r="D350" s="17" t="s">
        <v>860</v>
      </c>
      <c r="E350" s="17" t="s">
        <v>33</v>
      </c>
      <c r="F350" s="24" t="s">
        <v>1230</v>
      </c>
      <c r="G350" s="18" t="s">
        <v>16</v>
      </c>
    </row>
    <row r="351" spans="1:7" ht="31.5" x14ac:dyDescent="0.25">
      <c r="A351" s="14">
        <v>350</v>
      </c>
      <c r="B351" s="15" t="s">
        <v>145</v>
      </c>
      <c r="C351" s="16" t="s">
        <v>1231</v>
      </c>
      <c r="D351" s="17" t="s">
        <v>1232</v>
      </c>
      <c r="E351" s="17" t="s">
        <v>33</v>
      </c>
      <c r="F351" s="20" t="s">
        <v>1233</v>
      </c>
      <c r="G351" s="18" t="s">
        <v>14</v>
      </c>
    </row>
    <row r="352" spans="1:7" ht="31.5" x14ac:dyDescent="0.25">
      <c r="A352" s="14">
        <v>351</v>
      </c>
      <c r="B352" s="15" t="s">
        <v>1234</v>
      </c>
      <c r="C352" s="16" t="s">
        <v>1235</v>
      </c>
      <c r="D352" s="17" t="s">
        <v>1236</v>
      </c>
      <c r="E352" s="17" t="s">
        <v>33</v>
      </c>
      <c r="F352" s="20" t="s">
        <v>1237</v>
      </c>
      <c r="G352" s="18" t="s">
        <v>17</v>
      </c>
    </row>
    <row r="353" spans="1:7" ht="31.5" x14ac:dyDescent="0.25">
      <c r="A353" s="14">
        <v>352</v>
      </c>
      <c r="B353" s="15" t="s">
        <v>284</v>
      </c>
      <c r="C353" s="16" t="s">
        <v>1238</v>
      </c>
      <c r="D353" s="17" t="s">
        <v>1239</v>
      </c>
      <c r="E353" s="17" t="s">
        <v>33</v>
      </c>
      <c r="F353" s="24" t="s">
        <v>1240</v>
      </c>
      <c r="G353" s="18" t="s">
        <v>17</v>
      </c>
    </row>
    <row r="354" spans="1:7" ht="31.5" x14ac:dyDescent="0.25">
      <c r="A354" s="14">
        <v>353</v>
      </c>
      <c r="B354" s="15" t="s">
        <v>1241</v>
      </c>
      <c r="C354" s="16" t="s">
        <v>1242</v>
      </c>
      <c r="D354" s="17" t="s">
        <v>1243</v>
      </c>
      <c r="E354" s="17" t="s">
        <v>33</v>
      </c>
      <c r="F354" s="20" t="s">
        <v>1244</v>
      </c>
      <c r="G354" s="18" t="s">
        <v>17</v>
      </c>
    </row>
    <row r="355" spans="1:7" ht="31.5" x14ac:dyDescent="0.25">
      <c r="A355" s="14">
        <v>354</v>
      </c>
      <c r="B355" s="15" t="s">
        <v>1245</v>
      </c>
      <c r="C355" s="16" t="s">
        <v>1246</v>
      </c>
      <c r="D355" s="17" t="s">
        <v>1247</v>
      </c>
      <c r="E355" s="17" t="s">
        <v>33</v>
      </c>
      <c r="F355" s="20" t="s">
        <v>1248</v>
      </c>
      <c r="G355" s="18" t="s">
        <v>14</v>
      </c>
    </row>
    <row r="356" spans="1:7" ht="31.5" x14ac:dyDescent="0.25">
      <c r="A356" s="14">
        <v>355</v>
      </c>
      <c r="B356" s="15" t="s">
        <v>1249</v>
      </c>
      <c r="C356" s="16" t="s">
        <v>1250</v>
      </c>
      <c r="D356" s="17" t="s">
        <v>1251</v>
      </c>
      <c r="E356" s="17" t="s">
        <v>33</v>
      </c>
      <c r="F356" s="24" t="s">
        <v>1252</v>
      </c>
      <c r="G356" s="18" t="s">
        <v>19</v>
      </c>
    </row>
    <row r="357" spans="1:7" ht="31.5" x14ac:dyDescent="0.25">
      <c r="A357" s="14">
        <v>356</v>
      </c>
      <c r="B357" s="15" t="s">
        <v>387</v>
      </c>
      <c r="C357" s="16" t="s">
        <v>1253</v>
      </c>
      <c r="D357" s="17" t="s">
        <v>1254</v>
      </c>
      <c r="E357" s="17" t="s">
        <v>33</v>
      </c>
      <c r="F357" s="24" t="s">
        <v>1255</v>
      </c>
      <c r="G357" s="18" t="s">
        <v>17</v>
      </c>
    </row>
    <row r="358" spans="1:7" ht="14.1" customHeight="1" x14ac:dyDescent="0.25">
      <c r="A358" s="14">
        <v>357</v>
      </c>
      <c r="B358" s="15" t="s">
        <v>387</v>
      </c>
      <c r="C358" s="16" t="s">
        <v>1256</v>
      </c>
      <c r="D358" s="17" t="s">
        <v>1257</v>
      </c>
      <c r="E358" s="17" t="s">
        <v>33</v>
      </c>
      <c r="F358" s="24" t="s">
        <v>1258</v>
      </c>
      <c r="G358" s="18" t="s">
        <v>19</v>
      </c>
    </row>
    <row r="359" spans="1:7" ht="14.1" customHeight="1" x14ac:dyDescent="0.25">
      <c r="A359" s="14">
        <v>358</v>
      </c>
      <c r="B359" s="15" t="s">
        <v>642</v>
      </c>
      <c r="C359" s="16" t="s">
        <v>1259</v>
      </c>
      <c r="D359" s="17" t="s">
        <v>1260</v>
      </c>
      <c r="E359" s="17" t="s">
        <v>33</v>
      </c>
      <c r="F359" s="20" t="s">
        <v>1261</v>
      </c>
      <c r="G359" s="18" t="s">
        <v>19</v>
      </c>
    </row>
    <row r="360" spans="1:7" ht="31.5" x14ac:dyDescent="0.25">
      <c r="A360" s="14">
        <v>359</v>
      </c>
      <c r="B360" s="15" t="s">
        <v>1262</v>
      </c>
      <c r="C360" s="16" t="s">
        <v>1263</v>
      </c>
      <c r="D360" s="17" t="s">
        <v>1264</v>
      </c>
      <c r="E360" s="17" t="s">
        <v>33</v>
      </c>
      <c r="F360" s="20" t="s">
        <v>1265</v>
      </c>
      <c r="G360" s="18" t="s">
        <v>17</v>
      </c>
    </row>
    <row r="361" spans="1:7" ht="31.5" x14ac:dyDescent="0.25">
      <c r="A361" s="14">
        <v>360</v>
      </c>
      <c r="B361" s="15" t="s">
        <v>387</v>
      </c>
      <c r="C361" s="16" t="s">
        <v>1266</v>
      </c>
      <c r="D361" s="17" t="s">
        <v>1267</v>
      </c>
      <c r="E361" s="17" t="s">
        <v>33</v>
      </c>
      <c r="F361" s="24" t="s">
        <v>1268</v>
      </c>
      <c r="G361" s="18" t="s">
        <v>16</v>
      </c>
    </row>
    <row r="362" spans="1:7" ht="31.5" x14ac:dyDescent="0.25">
      <c r="A362" s="14">
        <v>361</v>
      </c>
      <c r="B362" s="15" t="s">
        <v>145</v>
      </c>
      <c r="C362" s="16" t="s">
        <v>1269</v>
      </c>
      <c r="D362" s="17" t="s">
        <v>1270</v>
      </c>
      <c r="E362" s="17" t="s">
        <v>33</v>
      </c>
      <c r="F362" s="24" t="s">
        <v>1271</v>
      </c>
      <c r="G362" s="18" t="s">
        <v>17</v>
      </c>
    </row>
    <row r="363" spans="1:7" ht="31.5" x14ac:dyDescent="0.25">
      <c r="A363" s="14">
        <v>362</v>
      </c>
      <c r="B363" s="15" t="s">
        <v>1272</v>
      </c>
      <c r="C363" s="16" t="s">
        <v>1273</v>
      </c>
      <c r="D363" s="17" t="s">
        <v>1274</v>
      </c>
      <c r="E363" s="17" t="s">
        <v>33</v>
      </c>
      <c r="F363" s="20" t="s">
        <v>1275</v>
      </c>
      <c r="G363" s="18" t="s">
        <v>17</v>
      </c>
    </row>
    <row r="364" spans="1:7" ht="31.5" x14ac:dyDescent="0.25">
      <c r="A364" s="14">
        <v>363</v>
      </c>
      <c r="B364" s="15" t="s">
        <v>1276</v>
      </c>
      <c r="C364" s="16" t="s">
        <v>1277</v>
      </c>
      <c r="D364" s="17" t="s">
        <v>1278</v>
      </c>
      <c r="E364" s="17" t="s">
        <v>33</v>
      </c>
      <c r="F364" s="24" t="s">
        <v>1279</v>
      </c>
      <c r="G364" s="18" t="s">
        <v>13</v>
      </c>
    </row>
    <row r="365" spans="1:7" ht="31.5" x14ac:dyDescent="0.25">
      <c r="A365" s="14">
        <v>364</v>
      </c>
      <c r="B365" s="15" t="s">
        <v>642</v>
      </c>
      <c r="C365" s="16" t="s">
        <v>1280</v>
      </c>
      <c r="D365" s="17" t="s">
        <v>1281</v>
      </c>
      <c r="E365" s="17" t="s">
        <v>33</v>
      </c>
      <c r="F365" s="20" t="s">
        <v>1282</v>
      </c>
      <c r="G365" s="18" t="s">
        <v>17</v>
      </c>
    </row>
    <row r="366" spans="1:7" ht="31.5" x14ac:dyDescent="0.25">
      <c r="A366" s="14">
        <v>365</v>
      </c>
      <c r="B366" s="15" t="s">
        <v>106</v>
      </c>
      <c r="C366" s="16" t="s">
        <v>1283</v>
      </c>
      <c r="D366" s="17" t="s">
        <v>530</v>
      </c>
      <c r="E366" s="17" t="s">
        <v>33</v>
      </c>
      <c r="F366" s="24" t="s">
        <v>1284</v>
      </c>
      <c r="G366" s="18" t="s">
        <v>21</v>
      </c>
    </row>
    <row r="367" spans="1:7" ht="31.5" x14ac:dyDescent="0.25">
      <c r="A367" s="14">
        <v>366</v>
      </c>
      <c r="B367" s="15" t="s">
        <v>1285</v>
      </c>
      <c r="C367" s="16" t="s">
        <v>1286</v>
      </c>
      <c r="D367" s="17" t="s">
        <v>1287</v>
      </c>
      <c r="E367" s="17" t="s">
        <v>33</v>
      </c>
      <c r="F367" s="20" t="s">
        <v>1288</v>
      </c>
      <c r="G367" s="18" t="s">
        <v>17</v>
      </c>
    </row>
    <row r="368" spans="1:7" ht="31.5" x14ac:dyDescent="0.25">
      <c r="A368" s="14">
        <v>367</v>
      </c>
      <c r="B368" s="15" t="s">
        <v>321</v>
      </c>
      <c r="C368" s="16" t="s">
        <v>1289</v>
      </c>
      <c r="D368" s="17" t="s">
        <v>1290</v>
      </c>
      <c r="E368" s="17" t="s">
        <v>33</v>
      </c>
      <c r="F368" s="20" t="s">
        <v>1291</v>
      </c>
      <c r="G368" s="18" t="s">
        <v>17</v>
      </c>
    </row>
    <row r="369" spans="1:7" ht="31.5" x14ac:dyDescent="0.25">
      <c r="A369" s="14">
        <v>368</v>
      </c>
      <c r="B369" s="15" t="s">
        <v>642</v>
      </c>
      <c r="C369" s="16" t="s">
        <v>1292</v>
      </c>
      <c r="D369" s="17" t="s">
        <v>1293</v>
      </c>
      <c r="E369" s="17" t="s">
        <v>33</v>
      </c>
      <c r="F369" s="20" t="s">
        <v>1294</v>
      </c>
      <c r="G369" s="18" t="s">
        <v>17</v>
      </c>
    </row>
    <row r="370" spans="1:7" ht="31.5" x14ac:dyDescent="0.25">
      <c r="A370" s="14">
        <v>369</v>
      </c>
      <c r="B370" s="15" t="s">
        <v>642</v>
      </c>
      <c r="C370" s="16" t="s">
        <v>1295</v>
      </c>
      <c r="D370" s="17" t="s">
        <v>1296</v>
      </c>
      <c r="E370" s="17" t="s">
        <v>33</v>
      </c>
      <c r="F370" s="20" t="s">
        <v>1297</v>
      </c>
      <c r="G370" s="18" t="s">
        <v>21</v>
      </c>
    </row>
    <row r="371" spans="1:7" ht="31.5" x14ac:dyDescent="0.25">
      <c r="A371" s="14">
        <v>370</v>
      </c>
      <c r="B371" s="15" t="s">
        <v>642</v>
      </c>
      <c r="C371" s="16" t="s">
        <v>1298</v>
      </c>
      <c r="D371" s="17" t="s">
        <v>1299</v>
      </c>
      <c r="E371" s="17" t="s">
        <v>33</v>
      </c>
      <c r="F371" s="20" t="s">
        <v>1300</v>
      </c>
      <c r="G371" s="18" t="s">
        <v>14</v>
      </c>
    </row>
    <row r="372" spans="1:7" ht="31.5" x14ac:dyDescent="0.25">
      <c r="A372" s="14">
        <v>371</v>
      </c>
      <c r="B372" s="15" t="s">
        <v>1301</v>
      </c>
      <c r="C372" s="16" t="s">
        <v>1302</v>
      </c>
      <c r="D372" s="17" t="s">
        <v>1303</v>
      </c>
      <c r="E372" s="17" t="s">
        <v>33</v>
      </c>
      <c r="F372" s="24" t="s">
        <v>1304</v>
      </c>
      <c r="G372" s="18" t="s">
        <v>17</v>
      </c>
    </row>
    <row r="373" spans="1:7" ht="31.5" x14ac:dyDescent="0.25">
      <c r="A373" s="14">
        <v>372</v>
      </c>
      <c r="B373" s="15" t="s">
        <v>1305</v>
      </c>
      <c r="C373" s="16" t="s">
        <v>1306</v>
      </c>
      <c r="D373" s="17" t="s">
        <v>1307</v>
      </c>
      <c r="E373" s="17" t="s">
        <v>33</v>
      </c>
      <c r="F373" s="20" t="s">
        <v>1308</v>
      </c>
      <c r="G373" s="18" t="s">
        <v>14</v>
      </c>
    </row>
    <row r="374" spans="1:7" ht="31.5" x14ac:dyDescent="0.25">
      <c r="A374" s="14">
        <v>373</v>
      </c>
      <c r="B374" s="15" t="s">
        <v>1305</v>
      </c>
      <c r="C374" s="16" t="s">
        <v>1309</v>
      </c>
      <c r="D374" s="17" t="s">
        <v>1310</v>
      </c>
      <c r="E374" s="17" t="s">
        <v>33</v>
      </c>
      <c r="F374" s="24" t="s">
        <v>1311</v>
      </c>
      <c r="G374" s="18" t="s">
        <v>9</v>
      </c>
    </row>
    <row r="375" spans="1:7" ht="31.5" x14ac:dyDescent="0.25">
      <c r="A375" s="14">
        <v>374</v>
      </c>
      <c r="B375" s="15" t="s">
        <v>1312</v>
      </c>
      <c r="C375" s="16" t="s">
        <v>1313</v>
      </c>
      <c r="D375" s="17" t="s">
        <v>1314</v>
      </c>
      <c r="E375" s="17" t="s">
        <v>33</v>
      </c>
      <c r="F375" s="19" t="s">
        <v>1315</v>
      </c>
      <c r="G375" s="18" t="s">
        <v>16</v>
      </c>
    </row>
    <row r="376" spans="1:7" ht="31.5" x14ac:dyDescent="0.25">
      <c r="A376" s="14">
        <v>375</v>
      </c>
      <c r="B376" s="15" t="s">
        <v>1316</v>
      </c>
      <c r="C376" s="16" t="s">
        <v>1317</v>
      </c>
      <c r="D376" s="17" t="s">
        <v>517</v>
      </c>
      <c r="E376" s="17" t="s">
        <v>33</v>
      </c>
      <c r="F376" s="24" t="s">
        <v>1318</v>
      </c>
      <c r="G376" s="18" t="s">
        <v>4</v>
      </c>
    </row>
    <row r="377" spans="1:7" ht="31.5" x14ac:dyDescent="0.25">
      <c r="A377" s="14">
        <v>376</v>
      </c>
      <c r="B377" s="15" t="s">
        <v>1319</v>
      </c>
      <c r="C377" s="16" t="s">
        <v>1320</v>
      </c>
      <c r="D377" s="17" t="s">
        <v>1321</v>
      </c>
      <c r="E377" s="17" t="s">
        <v>33</v>
      </c>
      <c r="F377" s="24" t="s">
        <v>1322</v>
      </c>
      <c r="G377" s="18" t="s">
        <v>17</v>
      </c>
    </row>
    <row r="378" spans="1:7" ht="31.5" x14ac:dyDescent="0.25">
      <c r="A378" s="14">
        <v>377</v>
      </c>
      <c r="B378" s="15" t="s">
        <v>1323</v>
      </c>
      <c r="C378" s="16" t="s">
        <v>1324</v>
      </c>
      <c r="D378" s="17" t="s">
        <v>1325</v>
      </c>
      <c r="E378" s="17" t="s">
        <v>33</v>
      </c>
      <c r="F378" s="24" t="s">
        <v>1326</v>
      </c>
      <c r="G378" s="18" t="s">
        <v>16</v>
      </c>
    </row>
    <row r="379" spans="1:7" ht="31.5" customHeight="1" x14ac:dyDescent="0.25">
      <c r="A379" s="14">
        <v>378</v>
      </c>
      <c r="B379" s="15" t="s">
        <v>113</v>
      </c>
      <c r="C379" s="16" t="s">
        <v>1327</v>
      </c>
      <c r="D379" s="17" t="s">
        <v>1328</v>
      </c>
      <c r="E379" s="17" t="s">
        <v>116</v>
      </c>
      <c r="F379" s="22" t="s">
        <v>1329</v>
      </c>
      <c r="G379" s="18" t="s">
        <v>17</v>
      </c>
    </row>
    <row r="380" spans="1:7" ht="31.5" customHeight="1" x14ac:dyDescent="0.25">
      <c r="A380" s="14">
        <v>379</v>
      </c>
      <c r="B380" s="15" t="s">
        <v>1330</v>
      </c>
      <c r="C380" s="16" t="s">
        <v>1331</v>
      </c>
      <c r="D380" s="17" t="s">
        <v>1332</v>
      </c>
      <c r="E380" s="17" t="s">
        <v>33</v>
      </c>
      <c r="F380" s="24" t="s">
        <v>1333</v>
      </c>
      <c r="G380" s="18" t="s">
        <v>17</v>
      </c>
    </row>
    <row r="381" spans="1:7" ht="31.5" x14ac:dyDescent="0.25">
      <c r="A381" s="14">
        <v>380</v>
      </c>
      <c r="B381" s="15" t="s">
        <v>642</v>
      </c>
      <c r="C381" s="16" t="s">
        <v>1334</v>
      </c>
      <c r="D381" s="17" t="s">
        <v>1335</v>
      </c>
      <c r="E381" s="17" t="s">
        <v>33</v>
      </c>
      <c r="F381" s="24" t="s">
        <v>1336</v>
      </c>
      <c r="G381" s="18" t="s">
        <v>15</v>
      </c>
    </row>
    <row r="382" spans="1:7" ht="31.5" x14ac:dyDescent="0.25">
      <c r="A382" s="14">
        <v>381</v>
      </c>
      <c r="B382" s="15" t="s">
        <v>1337</v>
      </c>
      <c r="C382" s="16" t="s">
        <v>1338</v>
      </c>
      <c r="D382" s="17" t="s">
        <v>1339</v>
      </c>
      <c r="E382" s="17" t="s">
        <v>33</v>
      </c>
      <c r="F382" s="20" t="s">
        <v>1340</v>
      </c>
      <c r="G382" s="18" t="s">
        <v>17</v>
      </c>
    </row>
    <row r="383" spans="1:7" ht="31.5" customHeight="1" x14ac:dyDescent="0.25">
      <c r="A383" s="14">
        <v>382</v>
      </c>
      <c r="B383" s="15" t="s">
        <v>1341</v>
      </c>
      <c r="C383" s="16" t="s">
        <v>1342</v>
      </c>
      <c r="D383" s="17" t="s">
        <v>1343</v>
      </c>
      <c r="E383" s="17" t="s">
        <v>33</v>
      </c>
      <c r="F383" s="24" t="s">
        <v>1344</v>
      </c>
      <c r="G383" s="18" t="s">
        <v>17</v>
      </c>
    </row>
    <row r="384" spans="1:7" ht="31.5" x14ac:dyDescent="0.25">
      <c r="A384" s="14">
        <v>383</v>
      </c>
      <c r="B384" s="15" t="s">
        <v>106</v>
      </c>
      <c r="C384" s="16" t="s">
        <v>1345</v>
      </c>
      <c r="D384" s="17" t="s">
        <v>856</v>
      </c>
      <c r="E384" s="17" t="s">
        <v>33</v>
      </c>
      <c r="F384" s="20" t="s">
        <v>1346</v>
      </c>
      <c r="G384" s="18" t="s">
        <v>16</v>
      </c>
    </row>
    <row r="385" spans="1:7" ht="31.5" x14ac:dyDescent="0.25">
      <c r="A385" s="14">
        <v>384</v>
      </c>
      <c r="B385" s="15" t="s">
        <v>492</v>
      </c>
      <c r="C385" s="16" t="s">
        <v>1347</v>
      </c>
      <c r="D385" s="17" t="s">
        <v>1348</v>
      </c>
      <c r="E385" s="17" t="s">
        <v>1349</v>
      </c>
      <c r="F385" s="24" t="s">
        <v>1350</v>
      </c>
      <c r="G385" s="18" t="s">
        <v>17</v>
      </c>
    </row>
    <row r="386" spans="1:7" ht="31.5" x14ac:dyDescent="0.25">
      <c r="A386" s="14">
        <v>385</v>
      </c>
      <c r="B386" s="15" t="s">
        <v>145</v>
      </c>
      <c r="C386" s="16" t="s">
        <v>1351</v>
      </c>
      <c r="D386" s="17" t="s">
        <v>51</v>
      </c>
      <c r="E386" s="17" t="s">
        <v>33</v>
      </c>
      <c r="F386" s="24" t="s">
        <v>1352</v>
      </c>
      <c r="G386" s="18" t="s">
        <v>9</v>
      </c>
    </row>
    <row r="387" spans="1:7" ht="31.5" x14ac:dyDescent="0.25">
      <c r="A387" s="14">
        <v>386</v>
      </c>
      <c r="B387" s="15" t="s">
        <v>387</v>
      </c>
      <c r="C387" s="16" t="s">
        <v>1353</v>
      </c>
      <c r="D387" s="17" t="s">
        <v>1354</v>
      </c>
      <c r="E387" s="17" t="s">
        <v>33</v>
      </c>
      <c r="F387" s="24" t="s">
        <v>1355</v>
      </c>
      <c r="G387" s="18" t="s">
        <v>16</v>
      </c>
    </row>
    <row r="388" spans="1:7" ht="31.5" x14ac:dyDescent="0.25">
      <c r="A388" s="14">
        <v>387</v>
      </c>
      <c r="B388" s="15" t="s">
        <v>1356</v>
      </c>
      <c r="C388" s="16" t="s">
        <v>1357</v>
      </c>
      <c r="D388" s="17" t="s">
        <v>1358</v>
      </c>
      <c r="E388" s="17" t="s">
        <v>33</v>
      </c>
      <c r="F388" s="20" t="s">
        <v>1359</v>
      </c>
      <c r="G388" s="18" t="s">
        <v>21</v>
      </c>
    </row>
    <row r="389" spans="1:7" ht="31.5" x14ac:dyDescent="0.25">
      <c r="A389" s="14">
        <v>388</v>
      </c>
      <c r="B389" s="15" t="s">
        <v>299</v>
      </c>
      <c r="C389" s="16" t="s">
        <v>1360</v>
      </c>
      <c r="D389" s="17" t="s">
        <v>1361</v>
      </c>
      <c r="E389" s="17" t="s">
        <v>33</v>
      </c>
      <c r="F389" s="20" t="s">
        <v>1362</v>
      </c>
      <c r="G389" s="18" t="s">
        <v>17</v>
      </c>
    </row>
    <row r="390" spans="1:7" x14ac:dyDescent="0.25">
      <c r="A390" s="14">
        <v>389</v>
      </c>
      <c r="B390" s="15" t="s">
        <v>145</v>
      </c>
      <c r="C390" s="16" t="s">
        <v>1363</v>
      </c>
      <c r="D390" s="17" t="s">
        <v>1364</v>
      </c>
      <c r="E390" s="17" t="s">
        <v>33</v>
      </c>
      <c r="F390" s="22" t="s">
        <v>1365</v>
      </c>
      <c r="G390" s="18" t="s">
        <v>13</v>
      </c>
    </row>
    <row r="391" spans="1:7" ht="31.5" customHeight="1" x14ac:dyDescent="0.25">
      <c r="A391" s="14">
        <v>390</v>
      </c>
      <c r="B391" s="15" t="s">
        <v>1366</v>
      </c>
      <c r="C391" s="16" t="s">
        <v>1367</v>
      </c>
      <c r="D391" s="17" t="s">
        <v>1368</v>
      </c>
      <c r="E391" s="17" t="s">
        <v>33</v>
      </c>
      <c r="F391" s="19" t="s">
        <v>1157</v>
      </c>
      <c r="G391" s="18" t="s">
        <v>21</v>
      </c>
    </row>
    <row r="392" spans="1:7" ht="31.5" x14ac:dyDescent="0.25">
      <c r="A392" s="14">
        <v>391</v>
      </c>
      <c r="B392" s="15" t="s">
        <v>1369</v>
      </c>
      <c r="C392" s="16" t="s">
        <v>1370</v>
      </c>
      <c r="D392" s="17" t="s">
        <v>1371</v>
      </c>
      <c r="E392" s="17" t="s">
        <v>33</v>
      </c>
      <c r="F392" s="24" t="s">
        <v>1372</v>
      </c>
      <c r="G392" s="18" t="s">
        <v>20</v>
      </c>
    </row>
    <row r="393" spans="1:7" ht="31.5" x14ac:dyDescent="0.25">
      <c r="A393" s="14">
        <v>392</v>
      </c>
      <c r="B393" s="15" t="s">
        <v>106</v>
      </c>
      <c r="C393" s="16" t="s">
        <v>1373</v>
      </c>
      <c r="D393" s="17" t="s">
        <v>1374</v>
      </c>
      <c r="E393" s="17" t="s">
        <v>33</v>
      </c>
      <c r="F393" s="20" t="s">
        <v>1375</v>
      </c>
      <c r="G393" s="18" t="s">
        <v>17</v>
      </c>
    </row>
    <row r="394" spans="1:7" ht="31.5" customHeight="1" x14ac:dyDescent="0.25">
      <c r="A394" s="14">
        <v>393</v>
      </c>
      <c r="B394" s="15" t="s">
        <v>1376</v>
      </c>
      <c r="C394" s="16" t="s">
        <v>1377</v>
      </c>
      <c r="D394" s="17" t="s">
        <v>1378</v>
      </c>
      <c r="E394" s="17" t="s">
        <v>33</v>
      </c>
      <c r="F394" s="20" t="s">
        <v>1379</v>
      </c>
      <c r="G394" s="18" t="s">
        <v>14</v>
      </c>
    </row>
    <row r="395" spans="1:7" ht="31.5" x14ac:dyDescent="0.25">
      <c r="A395" s="14">
        <v>394</v>
      </c>
      <c r="B395" s="15" t="s">
        <v>1380</v>
      </c>
      <c r="C395" s="16" t="s">
        <v>1381</v>
      </c>
      <c r="D395" s="17" t="s">
        <v>1382</v>
      </c>
      <c r="E395" s="17" t="s">
        <v>33</v>
      </c>
      <c r="F395" s="24" t="s">
        <v>1383</v>
      </c>
      <c r="G395" s="18" t="s">
        <v>4</v>
      </c>
    </row>
    <row r="396" spans="1:7" ht="31.5" x14ac:dyDescent="0.25">
      <c r="A396" s="14">
        <v>395</v>
      </c>
      <c r="B396" s="15" t="s">
        <v>1384</v>
      </c>
      <c r="C396" s="16" t="s">
        <v>1385</v>
      </c>
      <c r="D396" s="17" t="s">
        <v>1386</v>
      </c>
      <c r="E396" s="17" t="s">
        <v>33</v>
      </c>
      <c r="F396" s="24" t="s">
        <v>1387</v>
      </c>
      <c r="G396" s="18" t="s">
        <v>17</v>
      </c>
    </row>
    <row r="397" spans="1:7" ht="31.5" x14ac:dyDescent="0.25">
      <c r="A397" s="14">
        <v>396</v>
      </c>
      <c r="B397" s="15" t="s">
        <v>1388</v>
      </c>
      <c r="C397" s="16" t="s">
        <v>1389</v>
      </c>
      <c r="D397" s="17" t="s">
        <v>1390</v>
      </c>
      <c r="E397" s="17" t="s">
        <v>33</v>
      </c>
      <c r="F397" s="24" t="s">
        <v>1391</v>
      </c>
      <c r="G397" s="18" t="s">
        <v>17</v>
      </c>
    </row>
    <row r="398" spans="1:7" ht="31.5" x14ac:dyDescent="0.25">
      <c r="A398" s="14">
        <v>397</v>
      </c>
      <c r="B398" s="15" t="s">
        <v>98</v>
      </c>
      <c r="C398" s="16" t="s">
        <v>1392</v>
      </c>
      <c r="D398" s="17" t="s">
        <v>1393</v>
      </c>
      <c r="E398" s="17" t="s">
        <v>33</v>
      </c>
      <c r="F398" s="22" t="s">
        <v>1394</v>
      </c>
      <c r="G398" s="18" t="s">
        <v>17</v>
      </c>
    </row>
    <row r="399" spans="1:7" ht="31.5" x14ac:dyDescent="0.25">
      <c r="A399" s="14">
        <v>398</v>
      </c>
      <c r="B399" s="15" t="s">
        <v>56</v>
      </c>
      <c r="C399" s="16" t="s">
        <v>1110</v>
      </c>
      <c r="D399" s="17" t="s">
        <v>1395</v>
      </c>
      <c r="E399" s="17" t="s">
        <v>33</v>
      </c>
      <c r="F399" s="24" t="s">
        <v>1396</v>
      </c>
      <c r="G399" s="18" t="s">
        <v>20</v>
      </c>
    </row>
    <row r="400" spans="1:7" ht="31.5" x14ac:dyDescent="0.25">
      <c r="A400" s="14">
        <v>399</v>
      </c>
      <c r="B400" s="15" t="s">
        <v>1397</v>
      </c>
      <c r="C400" s="16" t="s">
        <v>1398</v>
      </c>
      <c r="D400" s="17" t="s">
        <v>1399</v>
      </c>
      <c r="E400" s="17" t="s">
        <v>33</v>
      </c>
      <c r="F400" s="20" t="s">
        <v>1400</v>
      </c>
      <c r="G400" s="18" t="s">
        <v>17</v>
      </c>
    </row>
    <row r="401" spans="1:7" ht="31.5" x14ac:dyDescent="0.25">
      <c r="A401" s="14">
        <v>400</v>
      </c>
      <c r="B401" s="15" t="s">
        <v>1401</v>
      </c>
      <c r="C401" s="16" t="s">
        <v>1402</v>
      </c>
      <c r="D401" s="17" t="s">
        <v>1403</v>
      </c>
      <c r="E401" s="17" t="s">
        <v>33</v>
      </c>
      <c r="F401" s="20" t="s">
        <v>1404</v>
      </c>
      <c r="G401" s="18" t="s">
        <v>14</v>
      </c>
    </row>
    <row r="402" spans="1:7" x14ac:dyDescent="0.25">
      <c r="A402" s="14">
        <v>401</v>
      </c>
      <c r="B402" s="15" t="s">
        <v>1405</v>
      </c>
      <c r="C402" s="16" t="s">
        <v>1406</v>
      </c>
      <c r="D402" s="17" t="s">
        <v>1407</v>
      </c>
      <c r="E402" s="17" t="s">
        <v>33</v>
      </c>
      <c r="F402" s="19" t="s">
        <v>1408</v>
      </c>
      <c r="G402" s="18" t="s">
        <v>2</v>
      </c>
    </row>
    <row r="403" spans="1:7" x14ac:dyDescent="0.25">
      <c r="A403" s="14">
        <v>402</v>
      </c>
      <c r="B403" s="15" t="s">
        <v>109</v>
      </c>
      <c r="C403" s="16" t="s">
        <v>1409</v>
      </c>
      <c r="D403" s="17" t="s">
        <v>1410</v>
      </c>
      <c r="E403" s="17" t="s">
        <v>33</v>
      </c>
      <c r="F403" s="19" t="s">
        <v>1411</v>
      </c>
      <c r="G403" s="18" t="s">
        <v>14</v>
      </c>
    </row>
    <row r="404" spans="1:7" ht="31.5" x14ac:dyDescent="0.25">
      <c r="A404" s="14">
        <v>403</v>
      </c>
      <c r="B404" s="15" t="s">
        <v>299</v>
      </c>
      <c r="C404" s="16" t="s">
        <v>1412</v>
      </c>
      <c r="D404" s="17" t="s">
        <v>1413</v>
      </c>
      <c r="E404" s="17" t="s">
        <v>33</v>
      </c>
      <c r="F404" s="20" t="s">
        <v>1414</v>
      </c>
      <c r="G404" s="18" t="s">
        <v>17</v>
      </c>
    </row>
    <row r="405" spans="1:7" ht="31.5" x14ac:dyDescent="0.25">
      <c r="A405" s="14">
        <v>404</v>
      </c>
      <c r="B405" s="15" t="s">
        <v>106</v>
      </c>
      <c r="C405" s="16" t="s">
        <v>1415</v>
      </c>
      <c r="D405" s="17" t="s">
        <v>1416</v>
      </c>
      <c r="E405" s="17" t="s">
        <v>33</v>
      </c>
      <c r="F405" s="20" t="s">
        <v>1417</v>
      </c>
      <c r="G405" s="18" t="s">
        <v>17</v>
      </c>
    </row>
    <row r="406" spans="1:7" ht="31.5" x14ac:dyDescent="0.25">
      <c r="A406" s="14">
        <v>405</v>
      </c>
      <c r="B406" s="15" t="s">
        <v>1418</v>
      </c>
      <c r="C406" s="16" t="s">
        <v>1419</v>
      </c>
      <c r="D406" s="17" t="s">
        <v>1420</v>
      </c>
      <c r="E406" s="17" t="s">
        <v>33</v>
      </c>
      <c r="F406" s="24" t="s">
        <v>1421</v>
      </c>
      <c r="G406" s="18" t="s">
        <v>17</v>
      </c>
    </row>
    <row r="407" spans="1:7" ht="31.5" x14ac:dyDescent="0.25">
      <c r="A407" s="14">
        <v>406</v>
      </c>
      <c r="B407" s="15" t="s">
        <v>1422</v>
      </c>
      <c r="C407" s="16" t="s">
        <v>1423</v>
      </c>
      <c r="D407" s="17" t="s">
        <v>1424</v>
      </c>
      <c r="E407" s="17" t="s">
        <v>33</v>
      </c>
      <c r="F407" s="20" t="s">
        <v>1425</v>
      </c>
      <c r="G407" s="18" t="s">
        <v>17</v>
      </c>
    </row>
    <row r="408" spans="1:7" ht="31.5" customHeight="1" x14ac:dyDescent="0.25">
      <c r="A408" s="14">
        <v>407</v>
      </c>
      <c r="B408" s="15" t="s">
        <v>361</v>
      </c>
      <c r="C408" s="16" t="s">
        <v>1426</v>
      </c>
      <c r="D408" s="17" t="s">
        <v>1427</v>
      </c>
      <c r="E408" s="17" t="s">
        <v>33</v>
      </c>
      <c r="F408" s="24" t="s">
        <v>1428</v>
      </c>
      <c r="G408" s="18" t="s">
        <v>8</v>
      </c>
    </row>
    <row r="409" spans="1:7" ht="31.5" x14ac:dyDescent="0.25">
      <c r="A409" s="14">
        <v>408</v>
      </c>
      <c r="B409" s="15" t="s">
        <v>106</v>
      </c>
      <c r="C409" s="16" t="s">
        <v>1429</v>
      </c>
      <c r="D409" s="17" t="s">
        <v>1430</v>
      </c>
      <c r="E409" s="17" t="s">
        <v>33</v>
      </c>
      <c r="F409" s="24" t="s">
        <v>1431</v>
      </c>
      <c r="G409" s="18" t="s">
        <v>10</v>
      </c>
    </row>
    <row r="410" spans="1:7" ht="31.5" x14ac:dyDescent="0.25">
      <c r="A410" s="14">
        <v>409</v>
      </c>
      <c r="B410" s="15" t="s">
        <v>1432</v>
      </c>
      <c r="C410" s="16" t="s">
        <v>1433</v>
      </c>
      <c r="D410" s="17" t="s">
        <v>1434</v>
      </c>
      <c r="E410" s="17" t="s">
        <v>33</v>
      </c>
      <c r="F410" s="24" t="s">
        <v>1435</v>
      </c>
      <c r="G410" s="18" t="s">
        <v>17</v>
      </c>
    </row>
    <row r="411" spans="1:7" ht="31.5" x14ac:dyDescent="0.25">
      <c r="A411" s="14">
        <v>410</v>
      </c>
      <c r="B411" s="15" t="s">
        <v>1305</v>
      </c>
      <c r="C411" s="16" t="s">
        <v>1436</v>
      </c>
      <c r="D411" s="17" t="s">
        <v>1437</v>
      </c>
      <c r="E411" s="17" t="s">
        <v>33</v>
      </c>
      <c r="F411" s="20" t="s">
        <v>1438</v>
      </c>
      <c r="G411" s="18" t="s">
        <v>17</v>
      </c>
    </row>
    <row r="412" spans="1:7" ht="31.5" x14ac:dyDescent="0.25">
      <c r="A412" s="14">
        <v>411</v>
      </c>
      <c r="B412" s="15" t="s">
        <v>1439</v>
      </c>
      <c r="C412" s="16" t="s">
        <v>1440</v>
      </c>
      <c r="D412" s="17" t="s">
        <v>1441</v>
      </c>
      <c r="E412" s="17" t="s">
        <v>33</v>
      </c>
      <c r="F412" s="24" t="s">
        <v>1442</v>
      </c>
      <c r="G412" s="18" t="s">
        <v>10</v>
      </c>
    </row>
    <row r="413" spans="1:7" ht="31.5" x14ac:dyDescent="0.25">
      <c r="A413" s="14">
        <v>412</v>
      </c>
      <c r="B413" s="15" t="s">
        <v>145</v>
      </c>
      <c r="C413" s="16" t="s">
        <v>1443</v>
      </c>
      <c r="D413" s="17" t="s">
        <v>1444</v>
      </c>
      <c r="E413" s="17" t="s">
        <v>33</v>
      </c>
      <c r="F413" s="20" t="s">
        <v>1445</v>
      </c>
      <c r="G413" s="18" t="s">
        <v>17</v>
      </c>
    </row>
    <row r="414" spans="1:7" ht="31.5" x14ac:dyDescent="0.25">
      <c r="A414" s="14">
        <v>413</v>
      </c>
      <c r="B414" s="15" t="s">
        <v>237</v>
      </c>
      <c r="C414" s="16" t="s">
        <v>1446</v>
      </c>
      <c r="D414" s="17" t="s">
        <v>1447</v>
      </c>
      <c r="E414" s="17" t="s">
        <v>33</v>
      </c>
      <c r="F414" s="20" t="s">
        <v>1448</v>
      </c>
      <c r="G414" s="18" t="s">
        <v>17</v>
      </c>
    </row>
    <row r="415" spans="1:7" ht="31.5" x14ac:dyDescent="0.25">
      <c r="A415" s="14">
        <v>414</v>
      </c>
      <c r="B415" s="15" t="s">
        <v>1449</v>
      </c>
      <c r="C415" s="16" t="s">
        <v>1450</v>
      </c>
      <c r="D415" s="17" t="s">
        <v>1451</v>
      </c>
      <c r="E415" s="17" t="s">
        <v>33</v>
      </c>
      <c r="F415" s="24" t="s">
        <v>1452</v>
      </c>
      <c r="G415" s="18" t="s">
        <v>5</v>
      </c>
    </row>
    <row r="416" spans="1:7" ht="31.5" x14ac:dyDescent="0.25">
      <c r="A416" s="14">
        <v>415</v>
      </c>
      <c r="B416" s="15" t="s">
        <v>284</v>
      </c>
      <c r="C416" s="16" t="s">
        <v>1453</v>
      </c>
      <c r="D416" s="17" t="s">
        <v>1454</v>
      </c>
      <c r="E416" s="17" t="s">
        <v>33</v>
      </c>
      <c r="F416" s="24" t="s">
        <v>1455</v>
      </c>
      <c r="G416" s="18" t="s">
        <v>16</v>
      </c>
    </row>
    <row r="417" spans="1:7" ht="31.5" x14ac:dyDescent="0.25">
      <c r="A417" s="14">
        <v>416</v>
      </c>
      <c r="B417" s="15" t="s">
        <v>1456</v>
      </c>
      <c r="C417" s="16" t="s">
        <v>1457</v>
      </c>
      <c r="D417" s="17" t="s">
        <v>1458</v>
      </c>
      <c r="E417" s="17" t="s">
        <v>33</v>
      </c>
      <c r="F417" s="24" t="s">
        <v>1459</v>
      </c>
      <c r="G417" s="18" t="s">
        <v>10</v>
      </c>
    </row>
    <row r="418" spans="1:7" ht="31.5" x14ac:dyDescent="0.25">
      <c r="A418" s="14">
        <v>417</v>
      </c>
      <c r="B418" s="15" t="s">
        <v>1460</v>
      </c>
      <c r="C418" s="16" t="s">
        <v>1461</v>
      </c>
      <c r="D418" s="17" t="s">
        <v>1462</v>
      </c>
      <c r="E418" s="17" t="s">
        <v>33</v>
      </c>
      <c r="F418" s="20" t="s">
        <v>1463</v>
      </c>
      <c r="G418" s="18" t="s">
        <v>17</v>
      </c>
    </row>
    <row r="419" spans="1:7" ht="31.5" x14ac:dyDescent="0.25">
      <c r="A419" s="14">
        <v>418</v>
      </c>
      <c r="B419" s="15" t="s">
        <v>237</v>
      </c>
      <c r="C419" s="16" t="s">
        <v>1464</v>
      </c>
      <c r="D419" s="17" t="s">
        <v>1465</v>
      </c>
      <c r="E419" s="17" t="s">
        <v>33</v>
      </c>
      <c r="F419" s="20" t="s">
        <v>1466</v>
      </c>
      <c r="G419" s="18" t="s">
        <v>17</v>
      </c>
    </row>
    <row r="420" spans="1:7" ht="31.5" x14ac:dyDescent="0.25">
      <c r="A420" s="14">
        <v>419</v>
      </c>
      <c r="B420" s="15" t="s">
        <v>299</v>
      </c>
      <c r="C420" s="16" t="s">
        <v>1467</v>
      </c>
      <c r="D420" s="17" t="s">
        <v>1468</v>
      </c>
      <c r="E420" s="17" t="s">
        <v>33</v>
      </c>
      <c r="F420" s="20" t="s">
        <v>1469</v>
      </c>
      <c r="G420" s="18" t="s">
        <v>17</v>
      </c>
    </row>
    <row r="421" spans="1:7" ht="31.5" x14ac:dyDescent="0.25">
      <c r="A421" s="14">
        <v>420</v>
      </c>
      <c r="B421" s="15" t="s">
        <v>1470</v>
      </c>
      <c r="C421" s="16" t="s">
        <v>1471</v>
      </c>
      <c r="D421" s="17" t="s">
        <v>1472</v>
      </c>
      <c r="E421" s="17" t="s">
        <v>33</v>
      </c>
      <c r="F421" s="20" t="s">
        <v>1473</v>
      </c>
      <c r="G421" s="18" t="s">
        <v>17</v>
      </c>
    </row>
    <row r="422" spans="1:7" ht="31.5" x14ac:dyDescent="0.25">
      <c r="A422" s="14">
        <v>421</v>
      </c>
      <c r="B422" s="15" t="s">
        <v>1474</v>
      </c>
      <c r="C422" s="16" t="s">
        <v>1475</v>
      </c>
      <c r="D422" s="17" t="s">
        <v>1472</v>
      </c>
      <c r="E422" s="17" t="s">
        <v>33</v>
      </c>
      <c r="F422" s="20" t="s">
        <v>1476</v>
      </c>
      <c r="G422" s="18" t="s">
        <v>17</v>
      </c>
    </row>
    <row r="423" spans="1:7" ht="31.5" x14ac:dyDescent="0.25">
      <c r="A423" s="14">
        <v>422</v>
      </c>
      <c r="B423" s="15" t="s">
        <v>1477</v>
      </c>
      <c r="C423" s="16" t="s">
        <v>1478</v>
      </c>
      <c r="D423" s="17" t="s">
        <v>1479</v>
      </c>
      <c r="E423" s="17" t="s">
        <v>33</v>
      </c>
      <c r="F423" s="24" t="s">
        <v>1480</v>
      </c>
      <c r="G423" s="18" t="s">
        <v>18</v>
      </c>
    </row>
    <row r="424" spans="1:7" ht="31.5" x14ac:dyDescent="0.25">
      <c r="A424" s="14">
        <v>423</v>
      </c>
      <c r="B424" s="15" t="s">
        <v>1481</v>
      </c>
      <c r="C424" s="16" t="s">
        <v>1482</v>
      </c>
      <c r="D424" s="17" t="s">
        <v>1483</v>
      </c>
      <c r="E424" s="17" t="s">
        <v>33</v>
      </c>
      <c r="F424" s="24" t="s">
        <v>1484</v>
      </c>
      <c r="G424" s="18" t="s">
        <v>18</v>
      </c>
    </row>
    <row r="425" spans="1:7" ht="31.5" x14ac:dyDescent="0.25">
      <c r="A425" s="14">
        <v>424</v>
      </c>
      <c r="B425" s="15" t="s">
        <v>1485</v>
      </c>
      <c r="C425" s="16" t="s">
        <v>1486</v>
      </c>
      <c r="D425" s="17" t="s">
        <v>1487</v>
      </c>
      <c r="E425" s="17" t="s">
        <v>33</v>
      </c>
      <c r="F425" s="20" t="s">
        <v>1488</v>
      </c>
      <c r="G425" s="18" t="s">
        <v>17</v>
      </c>
    </row>
    <row r="426" spans="1:7" ht="31.5" x14ac:dyDescent="0.25">
      <c r="A426" s="14">
        <v>425</v>
      </c>
      <c r="B426" s="15" t="s">
        <v>1489</v>
      </c>
      <c r="C426" s="16" t="s">
        <v>1490</v>
      </c>
      <c r="D426" s="17" t="s">
        <v>1491</v>
      </c>
      <c r="E426" s="17" t="s">
        <v>33</v>
      </c>
      <c r="F426" s="20" t="s">
        <v>1492</v>
      </c>
      <c r="G426" s="18" t="s">
        <v>9</v>
      </c>
    </row>
    <row r="427" spans="1:7" ht="31.5" x14ac:dyDescent="0.25">
      <c r="A427" s="14">
        <v>426</v>
      </c>
      <c r="B427" s="15" t="s">
        <v>1493</v>
      </c>
      <c r="C427" s="16" t="s">
        <v>1494</v>
      </c>
      <c r="D427" s="17" t="s">
        <v>1495</v>
      </c>
      <c r="E427" s="17" t="s">
        <v>33</v>
      </c>
      <c r="F427" s="24" t="s">
        <v>1496</v>
      </c>
      <c r="G427" s="18" t="s">
        <v>17</v>
      </c>
    </row>
    <row r="428" spans="1:7" ht="31.5" x14ac:dyDescent="0.25">
      <c r="A428" s="14">
        <v>427</v>
      </c>
      <c r="B428" s="15" t="s">
        <v>106</v>
      </c>
      <c r="C428" s="16" t="s">
        <v>1497</v>
      </c>
      <c r="D428" s="17" t="s">
        <v>1498</v>
      </c>
      <c r="E428" s="17" t="s">
        <v>33</v>
      </c>
      <c r="F428" s="24" t="s">
        <v>1499</v>
      </c>
      <c r="G428" s="18" t="s">
        <v>17</v>
      </c>
    </row>
    <row r="429" spans="1:7" ht="31.5" x14ac:dyDescent="0.25">
      <c r="A429" s="14">
        <v>428</v>
      </c>
      <c r="B429" s="15" t="s">
        <v>1500</v>
      </c>
      <c r="C429" s="16" t="s">
        <v>1266</v>
      </c>
      <c r="D429" s="17" t="s">
        <v>1501</v>
      </c>
      <c r="E429" s="17" t="s">
        <v>33</v>
      </c>
      <c r="F429" s="24" t="s">
        <v>1502</v>
      </c>
      <c r="G429" s="18" t="s">
        <v>4</v>
      </c>
    </row>
    <row r="430" spans="1:7" ht="31.5" x14ac:dyDescent="0.25">
      <c r="A430" s="14">
        <v>429</v>
      </c>
      <c r="B430" s="15" t="s">
        <v>1503</v>
      </c>
      <c r="C430" s="16" t="s">
        <v>1504</v>
      </c>
      <c r="D430" s="17" t="s">
        <v>1462</v>
      </c>
      <c r="E430" s="17" t="s">
        <v>33</v>
      </c>
      <c r="F430" s="20" t="s">
        <v>1505</v>
      </c>
      <c r="G430" s="18" t="s">
        <v>17</v>
      </c>
    </row>
    <row r="431" spans="1:7" ht="31.5" x14ac:dyDescent="0.25">
      <c r="A431" s="14">
        <v>430</v>
      </c>
      <c r="B431" s="15" t="s">
        <v>1305</v>
      </c>
      <c r="C431" s="16" t="s">
        <v>1506</v>
      </c>
      <c r="D431" s="17" t="s">
        <v>1507</v>
      </c>
      <c r="E431" s="17" t="s">
        <v>33</v>
      </c>
      <c r="F431" s="20" t="s">
        <v>1508</v>
      </c>
      <c r="G431" s="18" t="s">
        <v>17</v>
      </c>
    </row>
    <row r="432" spans="1:7" ht="31.5" customHeight="1" x14ac:dyDescent="0.25">
      <c r="A432" s="14">
        <v>431</v>
      </c>
      <c r="B432" s="15" t="s">
        <v>1509</v>
      </c>
      <c r="C432" s="16" t="s">
        <v>1510</v>
      </c>
      <c r="D432" s="17" t="s">
        <v>1511</v>
      </c>
      <c r="E432" s="17" t="s">
        <v>33</v>
      </c>
      <c r="F432" s="24" t="s">
        <v>1512</v>
      </c>
      <c r="G432" s="18" t="s">
        <v>16</v>
      </c>
    </row>
    <row r="433" spans="1:7" ht="31.5" x14ac:dyDescent="0.25">
      <c r="A433" s="14">
        <v>432</v>
      </c>
      <c r="B433" s="15" t="s">
        <v>1305</v>
      </c>
      <c r="C433" s="16" t="s">
        <v>1513</v>
      </c>
      <c r="D433" s="17" t="s">
        <v>1514</v>
      </c>
      <c r="E433" s="17" t="s">
        <v>33</v>
      </c>
      <c r="F433" s="24" t="s">
        <v>1515</v>
      </c>
      <c r="G433" s="18" t="s">
        <v>2</v>
      </c>
    </row>
    <row r="434" spans="1:7" ht="31.5" x14ac:dyDescent="0.25">
      <c r="A434" s="14">
        <v>433</v>
      </c>
      <c r="B434" s="15" t="s">
        <v>1516</v>
      </c>
      <c r="C434" s="16" t="s">
        <v>1517</v>
      </c>
      <c r="D434" s="17" t="s">
        <v>1518</v>
      </c>
      <c r="E434" s="17" t="s">
        <v>33</v>
      </c>
      <c r="F434" s="20" t="s">
        <v>1519</v>
      </c>
      <c r="G434" s="18" t="s">
        <v>14</v>
      </c>
    </row>
    <row r="435" spans="1:7" ht="31.5" x14ac:dyDescent="0.25">
      <c r="A435" s="14">
        <v>434</v>
      </c>
      <c r="B435" s="15" t="s">
        <v>1520</v>
      </c>
      <c r="C435" s="16" t="s">
        <v>1521</v>
      </c>
      <c r="D435" s="17" t="s">
        <v>1522</v>
      </c>
      <c r="E435" s="17" t="s">
        <v>33</v>
      </c>
      <c r="F435" s="20" t="s">
        <v>1523</v>
      </c>
      <c r="G435" s="18" t="s">
        <v>17</v>
      </c>
    </row>
    <row r="436" spans="1:7" ht="31.5" x14ac:dyDescent="0.25">
      <c r="A436" s="14">
        <v>435</v>
      </c>
      <c r="B436" s="15" t="s">
        <v>1524</v>
      </c>
      <c r="C436" s="16" t="s">
        <v>1525</v>
      </c>
      <c r="D436" s="17" t="s">
        <v>1526</v>
      </c>
      <c r="E436" s="17" t="s">
        <v>33</v>
      </c>
      <c r="F436" s="20" t="s">
        <v>1527</v>
      </c>
      <c r="G436" s="18" t="s">
        <v>14</v>
      </c>
    </row>
    <row r="437" spans="1:7" ht="31.5" x14ac:dyDescent="0.25">
      <c r="A437" s="14">
        <v>436</v>
      </c>
      <c r="B437" s="15" t="s">
        <v>642</v>
      </c>
      <c r="C437" s="16" t="s">
        <v>1528</v>
      </c>
      <c r="D437" s="17" t="s">
        <v>1529</v>
      </c>
      <c r="E437" s="17" t="s">
        <v>33</v>
      </c>
      <c r="F437" s="24" t="s">
        <v>1530</v>
      </c>
      <c r="G437" s="18" t="s">
        <v>17</v>
      </c>
    </row>
    <row r="438" spans="1:7" ht="31.5" x14ac:dyDescent="0.25">
      <c r="A438" s="14">
        <v>437</v>
      </c>
      <c r="B438" s="15" t="s">
        <v>141</v>
      </c>
      <c r="C438" s="16" t="s">
        <v>1531</v>
      </c>
      <c r="D438" s="17" t="s">
        <v>1532</v>
      </c>
      <c r="E438" s="17" t="s">
        <v>33</v>
      </c>
      <c r="F438" s="24" t="s">
        <v>1533</v>
      </c>
      <c r="G438" s="18" t="s">
        <v>4</v>
      </c>
    </row>
    <row r="439" spans="1:7" ht="31.5" x14ac:dyDescent="0.25">
      <c r="A439" s="14">
        <v>438</v>
      </c>
      <c r="B439" s="15" t="s">
        <v>1534</v>
      </c>
      <c r="C439" s="16" t="s">
        <v>1535</v>
      </c>
      <c r="D439" s="17" t="s">
        <v>1536</v>
      </c>
      <c r="E439" s="17" t="s">
        <v>33</v>
      </c>
      <c r="F439" s="24" t="s">
        <v>1537</v>
      </c>
      <c r="G439" s="18" t="s">
        <v>16</v>
      </c>
    </row>
    <row r="440" spans="1:7" ht="31.5" x14ac:dyDescent="0.25">
      <c r="A440" s="14">
        <v>439</v>
      </c>
      <c r="B440" s="15" t="s">
        <v>1538</v>
      </c>
      <c r="C440" s="16" t="s">
        <v>1539</v>
      </c>
      <c r="D440" s="17" t="s">
        <v>1540</v>
      </c>
      <c r="E440" s="17" t="s">
        <v>33</v>
      </c>
      <c r="F440" s="24" t="s">
        <v>1541</v>
      </c>
      <c r="G440" s="18" t="s">
        <v>13</v>
      </c>
    </row>
    <row r="441" spans="1:7" ht="31.5" x14ac:dyDescent="0.25">
      <c r="A441" s="14">
        <v>440</v>
      </c>
      <c r="B441" s="15" t="s">
        <v>1542</v>
      </c>
      <c r="C441" s="16" t="s">
        <v>1543</v>
      </c>
      <c r="D441" s="17" t="s">
        <v>1544</v>
      </c>
      <c r="E441" s="17" t="s">
        <v>33</v>
      </c>
      <c r="F441" s="20" t="s">
        <v>1255</v>
      </c>
      <c r="G441" s="18" t="s">
        <v>17</v>
      </c>
    </row>
    <row r="442" spans="1:7" s="27" customFormat="1" ht="31.5" x14ac:dyDescent="0.25">
      <c r="A442" s="14">
        <v>441</v>
      </c>
      <c r="B442" s="28" t="s">
        <v>1545</v>
      </c>
      <c r="C442" s="29" t="s">
        <v>1546</v>
      </c>
      <c r="D442" s="30" t="s">
        <v>1547</v>
      </c>
      <c r="E442" s="30" t="s">
        <v>33</v>
      </c>
      <c r="F442" s="31" t="s">
        <v>1548</v>
      </c>
      <c r="G442" s="18" t="s">
        <v>11</v>
      </c>
    </row>
    <row r="443" spans="1:7" ht="31.5" x14ac:dyDescent="0.25">
      <c r="A443" s="14">
        <v>442</v>
      </c>
      <c r="B443" s="15" t="s">
        <v>1549</v>
      </c>
      <c r="C443" s="16" t="s">
        <v>1550</v>
      </c>
      <c r="D443" s="17" t="s">
        <v>1551</v>
      </c>
      <c r="E443" s="17" t="s">
        <v>33</v>
      </c>
      <c r="F443" s="24" t="s">
        <v>1552</v>
      </c>
      <c r="G443" s="18" t="s">
        <v>21</v>
      </c>
    </row>
    <row r="444" spans="1:7" ht="31.5" x14ac:dyDescent="0.25">
      <c r="A444" s="14">
        <v>443</v>
      </c>
      <c r="B444" s="15" t="s">
        <v>1553</v>
      </c>
      <c r="C444" s="16" t="s">
        <v>1554</v>
      </c>
      <c r="D444" s="17" t="s">
        <v>1555</v>
      </c>
      <c r="E444" s="17" t="s">
        <v>33</v>
      </c>
      <c r="F444" s="24" t="s">
        <v>1556</v>
      </c>
      <c r="G444" s="18" t="s">
        <v>13</v>
      </c>
    </row>
    <row r="445" spans="1:7" ht="31.5" x14ac:dyDescent="0.25">
      <c r="A445" s="14">
        <v>444</v>
      </c>
      <c r="B445" s="15" t="s">
        <v>1557</v>
      </c>
      <c r="C445" s="16" t="s">
        <v>1558</v>
      </c>
      <c r="D445" s="17" t="s">
        <v>1559</v>
      </c>
      <c r="E445" s="17" t="s">
        <v>33</v>
      </c>
      <c r="F445" s="24" t="s">
        <v>1560</v>
      </c>
      <c r="G445" s="18" t="s">
        <v>20</v>
      </c>
    </row>
    <row r="446" spans="1:7" ht="31.5" x14ac:dyDescent="0.25">
      <c r="A446" s="14">
        <v>445</v>
      </c>
      <c r="B446" s="15" t="s">
        <v>1561</v>
      </c>
      <c r="C446" s="16" t="s">
        <v>1562</v>
      </c>
      <c r="D446" s="17" t="s">
        <v>1563</v>
      </c>
      <c r="E446" s="17" t="s">
        <v>33</v>
      </c>
      <c r="F446" s="24" t="s">
        <v>1564</v>
      </c>
      <c r="G446" s="18" t="s">
        <v>4</v>
      </c>
    </row>
    <row r="447" spans="1:7" ht="31.5" x14ac:dyDescent="0.25">
      <c r="A447" s="14">
        <v>446</v>
      </c>
      <c r="B447" s="15" t="s">
        <v>1565</v>
      </c>
      <c r="C447" s="16" t="s">
        <v>1566</v>
      </c>
      <c r="D447" s="17" t="s">
        <v>1555</v>
      </c>
      <c r="E447" s="17" t="s">
        <v>33</v>
      </c>
      <c r="F447" s="22" t="s">
        <v>1567</v>
      </c>
      <c r="G447" s="18" t="s">
        <v>13</v>
      </c>
    </row>
    <row r="448" spans="1:7" x14ac:dyDescent="0.25">
      <c r="A448" s="14">
        <v>447</v>
      </c>
      <c r="B448" s="15" t="s">
        <v>1568</v>
      </c>
      <c r="C448" s="16" t="s">
        <v>1569</v>
      </c>
      <c r="D448" s="17" t="s">
        <v>1570</v>
      </c>
      <c r="E448" s="17" t="s">
        <v>33</v>
      </c>
      <c r="F448" s="19" t="s">
        <v>1571</v>
      </c>
      <c r="G448" s="18" t="s">
        <v>17</v>
      </c>
    </row>
    <row r="449" spans="1:7" ht="31.5" x14ac:dyDescent="0.25">
      <c r="A449" s="14">
        <v>448</v>
      </c>
      <c r="B449" s="15" t="s">
        <v>1572</v>
      </c>
      <c r="C449" s="16" t="s">
        <v>1573</v>
      </c>
      <c r="D449" s="17" t="s">
        <v>1574</v>
      </c>
      <c r="E449" s="17" t="s">
        <v>33</v>
      </c>
      <c r="F449" s="20" t="s">
        <v>1575</v>
      </c>
      <c r="G449" s="18" t="s">
        <v>17</v>
      </c>
    </row>
    <row r="450" spans="1:7" ht="31.5" x14ac:dyDescent="0.25">
      <c r="A450" s="14">
        <v>449</v>
      </c>
      <c r="B450" s="15" t="s">
        <v>1576</v>
      </c>
      <c r="C450" s="16" t="s">
        <v>506</v>
      </c>
      <c r="D450" s="17" t="s">
        <v>1577</v>
      </c>
      <c r="E450" s="17" t="s">
        <v>33</v>
      </c>
      <c r="F450" s="20" t="s">
        <v>1578</v>
      </c>
      <c r="G450" s="18" t="s">
        <v>21</v>
      </c>
    </row>
    <row r="451" spans="1:7" x14ac:dyDescent="0.25">
      <c r="A451" s="14">
        <v>450</v>
      </c>
      <c r="B451" s="15" t="s">
        <v>1579</v>
      </c>
      <c r="C451" s="16" t="s">
        <v>1580</v>
      </c>
      <c r="D451" s="17" t="s">
        <v>1581</v>
      </c>
      <c r="E451" s="17" t="s">
        <v>33</v>
      </c>
      <c r="F451" s="22" t="s">
        <v>1582</v>
      </c>
      <c r="G451" s="18" t="s">
        <v>4</v>
      </c>
    </row>
    <row r="452" spans="1:7" ht="31.5" x14ac:dyDescent="0.25">
      <c r="A452" s="14">
        <v>451</v>
      </c>
      <c r="B452" s="15" t="s">
        <v>1583</v>
      </c>
      <c r="C452" s="16" t="s">
        <v>1584</v>
      </c>
      <c r="D452" s="17" t="s">
        <v>1585</v>
      </c>
      <c r="E452" s="17" t="s">
        <v>33</v>
      </c>
      <c r="F452" s="20" t="s">
        <v>1586</v>
      </c>
      <c r="G452" s="18" t="s">
        <v>17</v>
      </c>
    </row>
    <row r="453" spans="1:7" ht="31.5" x14ac:dyDescent="0.25">
      <c r="A453" s="14">
        <v>452</v>
      </c>
      <c r="B453" s="15" t="s">
        <v>1587</v>
      </c>
      <c r="C453" s="16" t="s">
        <v>1588</v>
      </c>
      <c r="D453" s="17" t="s">
        <v>1589</v>
      </c>
      <c r="E453" s="17" t="s">
        <v>33</v>
      </c>
      <c r="F453" s="24" t="s">
        <v>1590</v>
      </c>
      <c r="G453" s="18" t="s">
        <v>10</v>
      </c>
    </row>
    <row r="454" spans="1:7" ht="31.5" x14ac:dyDescent="0.25">
      <c r="A454" s="14">
        <v>453</v>
      </c>
      <c r="B454" s="15" t="s">
        <v>1591</v>
      </c>
      <c r="C454" s="16" t="s">
        <v>1592</v>
      </c>
      <c r="D454" s="17" t="s">
        <v>1593</v>
      </c>
      <c r="E454" s="17" t="s">
        <v>33</v>
      </c>
      <c r="F454" s="20" t="s">
        <v>1594</v>
      </c>
      <c r="G454" s="18" t="s">
        <v>9</v>
      </c>
    </row>
    <row r="455" spans="1:7" ht="31.5" x14ac:dyDescent="0.25">
      <c r="A455" s="14">
        <v>454</v>
      </c>
      <c r="B455" s="15" t="s">
        <v>1595</v>
      </c>
      <c r="C455" s="16" t="s">
        <v>1596</v>
      </c>
      <c r="D455" s="17" t="s">
        <v>1597</v>
      </c>
      <c r="E455" s="17" t="s">
        <v>33</v>
      </c>
      <c r="F455" s="24" t="s">
        <v>1598</v>
      </c>
      <c r="G455" s="18" t="s">
        <v>16</v>
      </c>
    </row>
    <row r="456" spans="1:7" ht="31.5" x14ac:dyDescent="0.25">
      <c r="A456" s="14">
        <v>455</v>
      </c>
      <c r="B456" s="15" t="s">
        <v>1599</v>
      </c>
      <c r="C456" s="16" t="s">
        <v>1600</v>
      </c>
      <c r="D456" s="17" t="s">
        <v>1597</v>
      </c>
      <c r="E456" s="17" t="s">
        <v>33</v>
      </c>
      <c r="F456" s="24" t="s">
        <v>1601</v>
      </c>
      <c r="G456" s="18" t="s">
        <v>16</v>
      </c>
    </row>
    <row r="457" spans="1:7" ht="31.5" x14ac:dyDescent="0.25">
      <c r="A457" s="14">
        <v>456</v>
      </c>
      <c r="B457" s="15" t="s">
        <v>1602</v>
      </c>
      <c r="C457" s="16" t="s">
        <v>1603</v>
      </c>
      <c r="D457" s="17" t="s">
        <v>1604</v>
      </c>
      <c r="E457" s="17" t="s">
        <v>33</v>
      </c>
      <c r="F457" s="24" t="s">
        <v>1605</v>
      </c>
      <c r="G457" s="18" t="s">
        <v>20</v>
      </c>
    </row>
    <row r="458" spans="1:7" ht="31.5" x14ac:dyDescent="0.25">
      <c r="A458" s="14">
        <v>457</v>
      </c>
      <c r="B458" s="15" t="s">
        <v>1606</v>
      </c>
      <c r="C458" s="16" t="s">
        <v>1607</v>
      </c>
      <c r="D458" s="17" t="s">
        <v>1608</v>
      </c>
      <c r="E458" s="17" t="s">
        <v>33</v>
      </c>
      <c r="F458" s="24" t="s">
        <v>1609</v>
      </c>
      <c r="G458" s="18" t="s">
        <v>2</v>
      </c>
    </row>
    <row r="459" spans="1:7" ht="31.5" x14ac:dyDescent="0.25">
      <c r="A459" s="14">
        <v>458</v>
      </c>
      <c r="B459" s="15" t="s">
        <v>1610</v>
      </c>
      <c r="C459" s="16" t="s">
        <v>1611</v>
      </c>
      <c r="D459" s="17" t="s">
        <v>1612</v>
      </c>
      <c r="E459" s="17" t="s">
        <v>33</v>
      </c>
      <c r="F459" s="24" t="s">
        <v>1613</v>
      </c>
      <c r="G459" s="18" t="s">
        <v>4</v>
      </c>
    </row>
    <row r="460" spans="1:7" ht="31.5" x14ac:dyDescent="0.25">
      <c r="A460" s="14">
        <v>459</v>
      </c>
      <c r="B460" s="15" t="s">
        <v>1614</v>
      </c>
      <c r="C460" s="16" t="s">
        <v>1615</v>
      </c>
      <c r="D460" s="17" t="s">
        <v>1612</v>
      </c>
      <c r="E460" s="17" t="s">
        <v>33</v>
      </c>
      <c r="F460" s="24" t="s">
        <v>1616</v>
      </c>
      <c r="G460" s="18" t="s">
        <v>4</v>
      </c>
    </row>
    <row r="461" spans="1:7" ht="31.5" x14ac:dyDescent="0.25">
      <c r="A461" s="14">
        <v>460</v>
      </c>
      <c r="B461" s="15" t="s">
        <v>1617</v>
      </c>
      <c r="C461" s="16" t="s">
        <v>1618</v>
      </c>
      <c r="D461" s="17" t="s">
        <v>1619</v>
      </c>
      <c r="E461" s="17" t="s">
        <v>33</v>
      </c>
      <c r="F461" s="24" t="s">
        <v>1620</v>
      </c>
      <c r="G461" s="18" t="s">
        <v>17</v>
      </c>
    </row>
    <row r="462" spans="1:7" ht="31.5" x14ac:dyDescent="0.25">
      <c r="A462" s="14">
        <v>461</v>
      </c>
      <c r="B462" s="15" t="s">
        <v>1621</v>
      </c>
      <c r="C462" s="16" t="s">
        <v>1622</v>
      </c>
      <c r="D462" s="17" t="s">
        <v>1623</v>
      </c>
      <c r="E462" s="17" t="s">
        <v>33</v>
      </c>
      <c r="F462" s="24" t="s">
        <v>1624</v>
      </c>
      <c r="G462" s="18" t="s">
        <v>10</v>
      </c>
    </row>
    <row r="463" spans="1:7" ht="31.5" x14ac:dyDescent="0.25">
      <c r="A463" s="14">
        <v>462</v>
      </c>
      <c r="B463" s="15" t="s">
        <v>642</v>
      </c>
      <c r="C463" s="16" t="s">
        <v>1625</v>
      </c>
      <c r="D463" s="17" t="s">
        <v>1626</v>
      </c>
      <c r="E463" s="17" t="s">
        <v>33</v>
      </c>
      <c r="F463" s="20" t="s">
        <v>1627</v>
      </c>
      <c r="G463" s="18" t="s">
        <v>10</v>
      </c>
    </row>
    <row r="464" spans="1:7" ht="31.5" x14ac:dyDescent="0.25">
      <c r="A464" s="14">
        <v>463</v>
      </c>
      <c r="B464" s="15" t="s">
        <v>1628</v>
      </c>
      <c r="C464" s="16" t="s">
        <v>1629</v>
      </c>
      <c r="D464" s="17" t="s">
        <v>1630</v>
      </c>
      <c r="E464" s="17" t="s">
        <v>33</v>
      </c>
      <c r="F464" s="20" t="s">
        <v>1631</v>
      </c>
      <c r="G464" s="18" t="s">
        <v>12</v>
      </c>
    </row>
    <row r="465" spans="1:7" ht="31.5" x14ac:dyDescent="0.25">
      <c r="A465" s="14">
        <v>464</v>
      </c>
      <c r="B465" s="15" t="s">
        <v>1632</v>
      </c>
      <c r="C465" s="16" t="s">
        <v>1633</v>
      </c>
      <c r="D465" s="17" t="s">
        <v>1634</v>
      </c>
      <c r="E465" s="17" t="s">
        <v>33</v>
      </c>
      <c r="F465" s="20" t="s">
        <v>1635</v>
      </c>
      <c r="G465" s="18" t="s">
        <v>14</v>
      </c>
    </row>
    <row r="466" spans="1:7" ht="31.5" x14ac:dyDescent="0.25">
      <c r="A466" s="14">
        <v>465</v>
      </c>
      <c r="B466" s="15" t="s">
        <v>1636</v>
      </c>
      <c r="C466" s="16" t="s">
        <v>1637</v>
      </c>
      <c r="D466" s="17" t="s">
        <v>1638</v>
      </c>
      <c r="E466" s="17" t="s">
        <v>33</v>
      </c>
      <c r="F466" s="20" t="s">
        <v>1639</v>
      </c>
      <c r="G466" s="18" t="s">
        <v>17</v>
      </c>
    </row>
    <row r="467" spans="1:7" ht="31.5" x14ac:dyDescent="0.25">
      <c r="A467" s="14">
        <v>466</v>
      </c>
      <c r="B467" s="15" t="s">
        <v>1640</v>
      </c>
      <c r="C467" s="16" t="s">
        <v>1641</v>
      </c>
      <c r="D467" s="17" t="s">
        <v>1642</v>
      </c>
      <c r="E467" s="17" t="s">
        <v>33</v>
      </c>
      <c r="F467" s="20" t="s">
        <v>1643</v>
      </c>
      <c r="G467" s="18" t="s">
        <v>17</v>
      </c>
    </row>
    <row r="468" spans="1:7" ht="31.5" x14ac:dyDescent="0.25">
      <c r="A468" s="14">
        <v>467</v>
      </c>
      <c r="B468" s="15" t="s">
        <v>1644</v>
      </c>
      <c r="C468" s="16" t="s">
        <v>1645</v>
      </c>
      <c r="D468" s="17" t="s">
        <v>1646</v>
      </c>
      <c r="E468" s="17" t="s">
        <v>33</v>
      </c>
      <c r="F468" s="20" t="s">
        <v>1647</v>
      </c>
      <c r="G468" s="18" t="s">
        <v>17</v>
      </c>
    </row>
    <row r="469" spans="1:7" x14ac:dyDescent="0.25">
      <c r="A469" s="14">
        <v>468</v>
      </c>
      <c r="B469" s="15" t="s">
        <v>1648</v>
      </c>
      <c r="C469" s="16" t="s">
        <v>1649</v>
      </c>
      <c r="D469" s="17" t="s">
        <v>1650</v>
      </c>
      <c r="E469" s="17" t="s">
        <v>33</v>
      </c>
      <c r="F469" s="22" t="s">
        <v>1651</v>
      </c>
      <c r="G469" s="18" t="s">
        <v>21</v>
      </c>
    </row>
    <row r="470" spans="1:7" ht="31.5" customHeight="1" x14ac:dyDescent="0.25">
      <c r="A470" s="14">
        <v>469</v>
      </c>
      <c r="B470" s="15" t="s">
        <v>45</v>
      </c>
      <c r="C470" s="16" t="s">
        <v>1652</v>
      </c>
      <c r="D470" s="17" t="s">
        <v>1653</v>
      </c>
      <c r="E470" s="17" t="s">
        <v>33</v>
      </c>
      <c r="F470" s="24" t="s">
        <v>1654</v>
      </c>
      <c r="G470" s="18" t="s">
        <v>3</v>
      </c>
    </row>
    <row r="471" spans="1:7" x14ac:dyDescent="0.25">
      <c r="A471" s="14">
        <v>470</v>
      </c>
      <c r="B471" s="15" t="s">
        <v>1655</v>
      </c>
      <c r="C471" s="16" t="s">
        <v>1656</v>
      </c>
      <c r="D471" s="17" t="s">
        <v>1657</v>
      </c>
      <c r="E471" s="17" t="s">
        <v>33</v>
      </c>
      <c r="F471" s="22" t="s">
        <v>1658</v>
      </c>
      <c r="G471" s="18" t="s">
        <v>4</v>
      </c>
    </row>
    <row r="472" spans="1:7" ht="31.5" customHeight="1" x14ac:dyDescent="0.25">
      <c r="A472" s="14">
        <v>471</v>
      </c>
      <c r="B472" s="15" t="s">
        <v>1659</v>
      </c>
      <c r="C472" s="16" t="s">
        <v>1660</v>
      </c>
      <c r="D472" s="17" t="s">
        <v>1661</v>
      </c>
      <c r="E472" s="17" t="s">
        <v>33</v>
      </c>
      <c r="F472" s="22" t="s">
        <v>1662</v>
      </c>
      <c r="G472" s="18" t="s">
        <v>16</v>
      </c>
    </row>
    <row r="473" spans="1:7" ht="31.5" customHeight="1" x14ac:dyDescent="0.25">
      <c r="A473" s="14">
        <v>472</v>
      </c>
      <c r="B473" s="15" t="s">
        <v>1663</v>
      </c>
      <c r="C473" s="16" t="s">
        <v>996</v>
      </c>
      <c r="D473" s="17" t="s">
        <v>1664</v>
      </c>
      <c r="E473" s="17" t="s">
        <v>33</v>
      </c>
      <c r="F473" s="20" t="s">
        <v>1665</v>
      </c>
      <c r="G473" s="18" t="s">
        <v>17</v>
      </c>
    </row>
    <row r="474" spans="1:7" ht="31.5" customHeight="1" x14ac:dyDescent="0.25">
      <c r="A474" s="14">
        <v>473</v>
      </c>
      <c r="B474" s="15" t="s">
        <v>1666</v>
      </c>
      <c r="C474" s="16" t="s">
        <v>1667</v>
      </c>
      <c r="D474" s="17" t="s">
        <v>1668</v>
      </c>
      <c r="E474" s="17" t="s">
        <v>33</v>
      </c>
      <c r="F474" s="20" t="s">
        <v>1669</v>
      </c>
      <c r="G474" s="18" t="s">
        <v>17</v>
      </c>
    </row>
    <row r="475" spans="1:7" ht="31.5" x14ac:dyDescent="0.25">
      <c r="A475" s="14">
        <v>474</v>
      </c>
      <c r="B475" s="15" t="s">
        <v>1670</v>
      </c>
      <c r="C475" s="16" t="s">
        <v>1671</v>
      </c>
      <c r="D475" s="17" t="s">
        <v>1672</v>
      </c>
      <c r="E475" s="17" t="s">
        <v>33</v>
      </c>
      <c r="F475" s="20" t="s">
        <v>1673</v>
      </c>
      <c r="G475" s="18" t="s">
        <v>14</v>
      </c>
    </row>
    <row r="476" spans="1:7" ht="31.5" x14ac:dyDescent="0.25">
      <c r="A476" s="14">
        <v>475</v>
      </c>
      <c r="B476" s="15" t="s">
        <v>1674</v>
      </c>
      <c r="C476" s="16" t="s">
        <v>1675</v>
      </c>
      <c r="D476" s="17" t="s">
        <v>1676</v>
      </c>
      <c r="E476" s="17" t="s">
        <v>33</v>
      </c>
      <c r="F476" s="24" t="s">
        <v>1677</v>
      </c>
      <c r="G476" s="18" t="s">
        <v>17</v>
      </c>
    </row>
    <row r="477" spans="1:7" ht="31.5" x14ac:dyDescent="0.25">
      <c r="A477" s="14">
        <v>476</v>
      </c>
      <c r="B477" s="15" t="s">
        <v>1678</v>
      </c>
      <c r="C477" s="16" t="s">
        <v>296</v>
      </c>
      <c r="D477" s="17" t="s">
        <v>1679</v>
      </c>
      <c r="E477" s="17" t="s">
        <v>33</v>
      </c>
      <c r="F477" s="24" t="s">
        <v>1680</v>
      </c>
      <c r="G477" s="18" t="s">
        <v>17</v>
      </c>
    </row>
    <row r="478" spans="1:7" ht="31.5" x14ac:dyDescent="0.25">
      <c r="A478" s="14">
        <v>477</v>
      </c>
      <c r="B478" s="15" t="s">
        <v>71</v>
      </c>
      <c r="C478" s="16" t="s">
        <v>1681</v>
      </c>
      <c r="D478" s="17" t="s">
        <v>1682</v>
      </c>
      <c r="E478" s="17" t="s">
        <v>33</v>
      </c>
      <c r="F478" s="24" t="s">
        <v>1683</v>
      </c>
      <c r="G478" s="18" t="s">
        <v>3</v>
      </c>
    </row>
    <row r="479" spans="1:7" ht="31.5" x14ac:dyDescent="0.25">
      <c r="A479" s="14">
        <v>478</v>
      </c>
      <c r="B479" s="15" t="s">
        <v>1684</v>
      </c>
      <c r="C479" s="16" t="s">
        <v>1685</v>
      </c>
      <c r="D479" s="17" t="s">
        <v>1686</v>
      </c>
      <c r="E479" s="17" t="s">
        <v>116</v>
      </c>
      <c r="F479" s="19" t="s">
        <v>1687</v>
      </c>
      <c r="G479" s="18" t="s">
        <v>17</v>
      </c>
    </row>
    <row r="480" spans="1:7" ht="31.5" x14ac:dyDescent="0.25">
      <c r="A480" s="14">
        <v>479</v>
      </c>
      <c r="B480" s="15" t="s">
        <v>1688</v>
      </c>
      <c r="C480" s="16" t="s">
        <v>1689</v>
      </c>
      <c r="D480" s="17" t="s">
        <v>1690</v>
      </c>
      <c r="E480" s="17" t="s">
        <v>33</v>
      </c>
      <c r="F480" s="20" t="s">
        <v>1691</v>
      </c>
      <c r="G480" s="18" t="s">
        <v>14</v>
      </c>
    </row>
    <row r="481" spans="1:7" ht="31.5" x14ac:dyDescent="0.25">
      <c r="A481" s="14">
        <v>480</v>
      </c>
      <c r="B481" s="15" t="s">
        <v>1692</v>
      </c>
      <c r="C481" s="16" t="s">
        <v>1693</v>
      </c>
      <c r="D481" s="17" t="s">
        <v>1694</v>
      </c>
      <c r="E481" s="17" t="s">
        <v>33</v>
      </c>
      <c r="F481" s="20" t="s">
        <v>1695</v>
      </c>
      <c r="G481" s="18" t="s">
        <v>13</v>
      </c>
    </row>
    <row r="482" spans="1:7" ht="31.5" x14ac:dyDescent="0.25">
      <c r="A482" s="14">
        <v>481</v>
      </c>
      <c r="B482" s="15" t="s">
        <v>1696</v>
      </c>
      <c r="C482" s="16" t="s">
        <v>1697</v>
      </c>
      <c r="D482" s="17" t="s">
        <v>1698</v>
      </c>
      <c r="E482" s="17" t="s">
        <v>33</v>
      </c>
      <c r="F482" s="24" t="s">
        <v>1699</v>
      </c>
      <c r="G482" s="18" t="s">
        <v>16</v>
      </c>
    </row>
    <row r="483" spans="1:7" ht="31.5" customHeight="1" x14ac:dyDescent="0.25">
      <c r="A483" s="14">
        <v>482</v>
      </c>
      <c r="B483" s="15" t="s">
        <v>1700</v>
      </c>
      <c r="C483" s="16" t="s">
        <v>1701</v>
      </c>
      <c r="D483" s="17" t="s">
        <v>1702</v>
      </c>
      <c r="E483" s="17" t="s">
        <v>33</v>
      </c>
      <c r="F483" s="22" t="s">
        <v>1703</v>
      </c>
      <c r="G483" s="18" t="s">
        <v>17</v>
      </c>
    </row>
    <row r="484" spans="1:7" ht="31.5" customHeight="1" x14ac:dyDescent="0.25">
      <c r="A484" s="14">
        <v>483</v>
      </c>
      <c r="B484" s="15" t="s">
        <v>1704</v>
      </c>
      <c r="C484" s="16" t="s">
        <v>1705</v>
      </c>
      <c r="D484" s="17" t="s">
        <v>1702</v>
      </c>
      <c r="E484" s="17" t="s">
        <v>33</v>
      </c>
      <c r="F484" s="24" t="s">
        <v>1706</v>
      </c>
      <c r="G484" s="18" t="s">
        <v>17</v>
      </c>
    </row>
    <row r="485" spans="1:7" ht="31.5" x14ac:dyDescent="0.25">
      <c r="A485" s="14">
        <v>484</v>
      </c>
      <c r="B485" s="15" t="s">
        <v>1707</v>
      </c>
      <c r="C485" s="16" t="s">
        <v>1708</v>
      </c>
      <c r="D485" s="17" t="s">
        <v>1709</v>
      </c>
      <c r="E485" s="17" t="s">
        <v>33</v>
      </c>
      <c r="F485" s="20" t="s">
        <v>1710</v>
      </c>
      <c r="G485" s="18" t="s">
        <v>17</v>
      </c>
    </row>
    <row r="486" spans="1:7" ht="31.5" x14ac:dyDescent="0.25">
      <c r="A486" s="14">
        <v>485</v>
      </c>
      <c r="B486" s="15" t="s">
        <v>1711</v>
      </c>
      <c r="C486" s="16" t="s">
        <v>1712</v>
      </c>
      <c r="D486" s="17" t="s">
        <v>1713</v>
      </c>
      <c r="E486" s="17" t="s">
        <v>33</v>
      </c>
      <c r="F486" s="24" t="s">
        <v>1714</v>
      </c>
      <c r="G486" s="18" t="s">
        <v>4</v>
      </c>
    </row>
    <row r="487" spans="1:7" ht="31.5" x14ac:dyDescent="0.25">
      <c r="A487" s="14">
        <v>486</v>
      </c>
      <c r="B487" s="15" t="s">
        <v>1715</v>
      </c>
      <c r="C487" s="16" t="s">
        <v>1716</v>
      </c>
      <c r="D487" s="17" t="s">
        <v>1717</v>
      </c>
      <c r="E487" s="17" t="s">
        <v>33</v>
      </c>
      <c r="F487" s="20" t="s">
        <v>1718</v>
      </c>
      <c r="G487" s="18" t="s">
        <v>21</v>
      </c>
    </row>
    <row r="488" spans="1:7" ht="31.5" x14ac:dyDescent="0.25">
      <c r="A488" s="14">
        <v>487</v>
      </c>
      <c r="B488" s="15" t="s">
        <v>1719</v>
      </c>
      <c r="C488" s="16" t="s">
        <v>1720</v>
      </c>
      <c r="D488" s="17" t="s">
        <v>1721</v>
      </c>
      <c r="E488" s="17" t="s">
        <v>33</v>
      </c>
      <c r="F488" s="20" t="s">
        <v>1722</v>
      </c>
      <c r="G488" s="18" t="s">
        <v>9</v>
      </c>
    </row>
    <row r="489" spans="1:7" ht="31.5" x14ac:dyDescent="0.25">
      <c r="A489" s="14">
        <v>488</v>
      </c>
      <c r="B489" s="15" t="s">
        <v>1723</v>
      </c>
      <c r="C489" s="16" t="s">
        <v>636</v>
      </c>
      <c r="D489" s="17" t="s">
        <v>637</v>
      </c>
      <c r="E489" s="17" t="s">
        <v>33</v>
      </c>
      <c r="F489" s="20" t="s">
        <v>638</v>
      </c>
      <c r="G489" s="18" t="s">
        <v>21</v>
      </c>
    </row>
    <row r="490" spans="1:7" ht="31.5" x14ac:dyDescent="0.25">
      <c r="A490" s="14">
        <v>489</v>
      </c>
      <c r="B490" s="15" t="s">
        <v>1724</v>
      </c>
      <c r="C490" s="16" t="s">
        <v>1725</v>
      </c>
      <c r="D490" s="17" t="s">
        <v>1726</v>
      </c>
      <c r="E490" s="17" t="s">
        <v>33</v>
      </c>
      <c r="F490" s="20" t="s">
        <v>1727</v>
      </c>
      <c r="G490" s="18" t="s">
        <v>8</v>
      </c>
    </row>
    <row r="491" spans="1:7" ht="31.5" x14ac:dyDescent="0.25">
      <c r="A491" s="14">
        <v>490</v>
      </c>
      <c r="B491" s="15" t="s">
        <v>1728</v>
      </c>
      <c r="C491" s="16" t="s">
        <v>1729</v>
      </c>
      <c r="D491" s="17" t="s">
        <v>1730</v>
      </c>
      <c r="E491" s="17" t="s">
        <v>33</v>
      </c>
      <c r="F491" s="24" t="s">
        <v>1731</v>
      </c>
      <c r="G491" s="18" t="s">
        <v>17</v>
      </c>
    </row>
    <row r="492" spans="1:7" ht="31.5" customHeight="1" x14ac:dyDescent="0.25">
      <c r="A492" s="14">
        <v>491</v>
      </c>
      <c r="B492" s="15" t="s">
        <v>1732</v>
      </c>
      <c r="C492" s="16" t="s">
        <v>1733</v>
      </c>
      <c r="D492" s="17" t="s">
        <v>1734</v>
      </c>
      <c r="E492" s="17" t="s">
        <v>33</v>
      </c>
      <c r="F492" s="20" t="s">
        <v>1735</v>
      </c>
      <c r="G492" s="18" t="s">
        <v>17</v>
      </c>
    </row>
    <row r="493" spans="1:7" ht="31.5" x14ac:dyDescent="0.25">
      <c r="A493" s="14">
        <v>492</v>
      </c>
      <c r="B493" s="15" t="s">
        <v>1736</v>
      </c>
      <c r="C493" s="16" t="s">
        <v>1737</v>
      </c>
      <c r="D493" s="17" t="s">
        <v>1738</v>
      </c>
      <c r="E493" s="17" t="s">
        <v>33</v>
      </c>
      <c r="F493" s="20" t="s">
        <v>1739</v>
      </c>
      <c r="G493" s="18" t="s">
        <v>17</v>
      </c>
    </row>
    <row r="494" spans="1:7" ht="31.5" x14ac:dyDescent="0.25">
      <c r="A494" s="14">
        <v>493</v>
      </c>
      <c r="B494" s="15" t="s">
        <v>1740</v>
      </c>
      <c r="C494" s="16" t="s">
        <v>1741</v>
      </c>
      <c r="D494" s="17" t="s">
        <v>651</v>
      </c>
      <c r="E494" s="17" t="s">
        <v>33</v>
      </c>
      <c r="F494" s="24" t="s">
        <v>1742</v>
      </c>
      <c r="G494" s="18" t="s">
        <v>4</v>
      </c>
    </row>
    <row r="495" spans="1:7" ht="31.5" customHeight="1" x14ac:dyDescent="0.25">
      <c r="A495" s="14">
        <v>494</v>
      </c>
      <c r="B495" s="15" t="s">
        <v>1743</v>
      </c>
      <c r="C495" s="16" t="s">
        <v>1744</v>
      </c>
      <c r="D495" s="17" t="s">
        <v>1745</v>
      </c>
      <c r="E495" s="17" t="s">
        <v>33</v>
      </c>
      <c r="F495" s="20" t="s">
        <v>1746</v>
      </c>
      <c r="G495" s="18" t="s">
        <v>17</v>
      </c>
    </row>
    <row r="496" spans="1:7" ht="31.5" x14ac:dyDescent="0.25">
      <c r="A496" s="14">
        <v>495</v>
      </c>
      <c r="B496" s="15" t="s">
        <v>1747</v>
      </c>
      <c r="C496" s="16" t="s">
        <v>1748</v>
      </c>
      <c r="D496" s="17" t="s">
        <v>1749</v>
      </c>
      <c r="E496" s="17" t="s">
        <v>33</v>
      </c>
      <c r="F496" s="20" t="s">
        <v>1750</v>
      </c>
      <c r="G496" s="18" t="s">
        <v>8</v>
      </c>
    </row>
    <row r="497" spans="1:7" ht="31.5" x14ac:dyDescent="0.25">
      <c r="A497" s="14">
        <v>496</v>
      </c>
      <c r="B497" s="15" t="s">
        <v>955</v>
      </c>
      <c r="C497" s="16" t="s">
        <v>1751</v>
      </c>
      <c r="D497" s="17" t="s">
        <v>1752</v>
      </c>
      <c r="E497" s="17" t="s">
        <v>33</v>
      </c>
      <c r="F497" s="24" t="s">
        <v>1753</v>
      </c>
      <c r="G497" s="18" t="s">
        <v>17</v>
      </c>
    </row>
    <row r="498" spans="1:7" ht="31.5" x14ac:dyDescent="0.25">
      <c r="A498" s="14">
        <v>497</v>
      </c>
      <c r="B498" s="15" t="s">
        <v>1754</v>
      </c>
      <c r="C498" s="16" t="s">
        <v>1755</v>
      </c>
      <c r="D498" s="17" t="s">
        <v>1756</v>
      </c>
      <c r="E498" s="17" t="s">
        <v>33</v>
      </c>
      <c r="F498" s="20" t="s">
        <v>1757</v>
      </c>
      <c r="G498" s="18" t="s">
        <v>9</v>
      </c>
    </row>
    <row r="499" spans="1:7" ht="31.5" x14ac:dyDescent="0.25">
      <c r="A499" s="14">
        <v>498</v>
      </c>
      <c r="B499" s="15" t="s">
        <v>1758</v>
      </c>
      <c r="C499" s="16" t="s">
        <v>1759</v>
      </c>
      <c r="D499" s="17" t="s">
        <v>1760</v>
      </c>
      <c r="E499" s="17" t="s">
        <v>33</v>
      </c>
      <c r="F499" s="20" t="s">
        <v>1761</v>
      </c>
      <c r="G499" s="18" t="s">
        <v>21</v>
      </c>
    </row>
    <row r="500" spans="1:7" ht="31.5" customHeight="1" x14ac:dyDescent="0.25">
      <c r="A500" s="14">
        <v>499</v>
      </c>
      <c r="B500" s="15" t="s">
        <v>1762</v>
      </c>
      <c r="C500" s="16" t="s">
        <v>1763</v>
      </c>
      <c r="D500" s="17" t="s">
        <v>1764</v>
      </c>
      <c r="E500" s="17" t="s">
        <v>33</v>
      </c>
      <c r="F500" s="20" t="s">
        <v>1765</v>
      </c>
      <c r="G500" s="18" t="s">
        <v>17</v>
      </c>
    </row>
    <row r="501" spans="1:7" ht="31.5" x14ac:dyDescent="0.25">
      <c r="A501" s="14">
        <v>500</v>
      </c>
      <c r="B501" s="15" t="s">
        <v>1766</v>
      </c>
      <c r="C501" s="16" t="s">
        <v>1767</v>
      </c>
      <c r="D501" s="17" t="s">
        <v>1768</v>
      </c>
      <c r="E501" s="17" t="s">
        <v>33</v>
      </c>
      <c r="F501" s="20" t="s">
        <v>1769</v>
      </c>
      <c r="G501" s="18" t="s">
        <v>21</v>
      </c>
    </row>
    <row r="502" spans="1:7" ht="31.5" x14ac:dyDescent="0.25">
      <c r="A502" s="14">
        <v>501</v>
      </c>
      <c r="B502" s="15" t="s">
        <v>1770</v>
      </c>
      <c r="C502" s="16" t="s">
        <v>1771</v>
      </c>
      <c r="D502" s="17" t="s">
        <v>1772</v>
      </c>
      <c r="E502" s="17" t="s">
        <v>33</v>
      </c>
      <c r="F502" s="20" t="s">
        <v>1773</v>
      </c>
      <c r="G502" s="18" t="s">
        <v>17</v>
      </c>
    </row>
    <row r="503" spans="1:7" ht="31.5" x14ac:dyDescent="0.25">
      <c r="A503" s="14">
        <v>502</v>
      </c>
      <c r="B503" s="15" t="s">
        <v>1774</v>
      </c>
      <c r="C503" s="16" t="s">
        <v>1775</v>
      </c>
      <c r="D503" s="17" t="s">
        <v>401</v>
      </c>
      <c r="E503" s="17" t="s">
        <v>33</v>
      </c>
      <c r="F503" s="24" t="s">
        <v>1776</v>
      </c>
      <c r="G503" s="18" t="s">
        <v>17</v>
      </c>
    </row>
    <row r="504" spans="1:7" ht="31.5" x14ac:dyDescent="0.25">
      <c r="A504" s="14">
        <v>503</v>
      </c>
      <c r="B504" s="15" t="s">
        <v>1777</v>
      </c>
      <c r="C504" s="16" t="s">
        <v>1778</v>
      </c>
      <c r="D504" s="17" t="s">
        <v>1779</v>
      </c>
      <c r="E504" s="17" t="s">
        <v>33</v>
      </c>
      <c r="F504" s="20" t="s">
        <v>1780</v>
      </c>
      <c r="G504" s="18" t="s">
        <v>17</v>
      </c>
    </row>
    <row r="505" spans="1:7" ht="31.5" x14ac:dyDescent="0.25">
      <c r="A505" s="14">
        <v>504</v>
      </c>
      <c r="B505" s="15" t="s">
        <v>1781</v>
      </c>
      <c r="C505" s="16" t="s">
        <v>1782</v>
      </c>
      <c r="D505" s="17" t="s">
        <v>1783</v>
      </c>
      <c r="E505" s="17" t="s">
        <v>33</v>
      </c>
      <c r="F505" s="20" t="s">
        <v>1784</v>
      </c>
      <c r="G505" s="18" t="s">
        <v>17</v>
      </c>
    </row>
    <row r="506" spans="1:7" ht="31.5" x14ac:dyDescent="0.25">
      <c r="A506" s="14">
        <v>505</v>
      </c>
      <c r="B506" s="15" t="s">
        <v>1785</v>
      </c>
      <c r="C506" s="16" t="s">
        <v>1786</v>
      </c>
      <c r="D506" s="17" t="s">
        <v>1787</v>
      </c>
      <c r="E506" s="17" t="s">
        <v>33</v>
      </c>
      <c r="F506" s="20" t="s">
        <v>1788</v>
      </c>
      <c r="G506" s="18" t="s">
        <v>10</v>
      </c>
    </row>
    <row r="507" spans="1:7" ht="31.5" customHeight="1" x14ac:dyDescent="0.25">
      <c r="A507" s="14">
        <v>506</v>
      </c>
      <c r="B507" s="15" t="s">
        <v>1789</v>
      </c>
      <c r="C507" s="16" t="s">
        <v>624</v>
      </c>
      <c r="D507" s="17" t="s">
        <v>1790</v>
      </c>
      <c r="E507" s="17" t="s">
        <v>33</v>
      </c>
      <c r="F507" s="20" t="s">
        <v>1791</v>
      </c>
      <c r="G507" s="18" t="s">
        <v>17</v>
      </c>
    </row>
    <row r="508" spans="1:7" ht="31.5" x14ac:dyDescent="0.25">
      <c r="A508" s="14">
        <v>507</v>
      </c>
      <c r="B508" s="15" t="s">
        <v>1792</v>
      </c>
      <c r="C508" s="16" t="s">
        <v>1793</v>
      </c>
      <c r="D508" s="17" t="s">
        <v>1794</v>
      </c>
      <c r="E508" s="17" t="s">
        <v>33</v>
      </c>
      <c r="F508" s="24" t="s">
        <v>1795</v>
      </c>
      <c r="G508" s="18" t="s">
        <v>4</v>
      </c>
    </row>
    <row r="509" spans="1:7" ht="31.5" x14ac:dyDescent="0.25">
      <c r="A509" s="14">
        <v>508</v>
      </c>
      <c r="B509" s="15" t="s">
        <v>1796</v>
      </c>
      <c r="C509" s="16" t="s">
        <v>1797</v>
      </c>
      <c r="D509" s="17" t="s">
        <v>1798</v>
      </c>
      <c r="E509" s="17" t="s">
        <v>33</v>
      </c>
      <c r="F509" s="20" t="s">
        <v>1799</v>
      </c>
      <c r="G509" s="18" t="s">
        <v>10</v>
      </c>
    </row>
    <row r="510" spans="1:7" ht="31.5" x14ac:dyDescent="0.25">
      <c r="A510" s="14">
        <v>509</v>
      </c>
      <c r="B510" s="15" t="s">
        <v>1800</v>
      </c>
      <c r="C510" s="16" t="s">
        <v>1801</v>
      </c>
      <c r="D510" s="17" t="s">
        <v>1802</v>
      </c>
      <c r="E510" s="17" t="s">
        <v>33</v>
      </c>
      <c r="F510" s="20" t="s">
        <v>1803</v>
      </c>
      <c r="G510" s="18" t="s">
        <v>17</v>
      </c>
    </row>
    <row r="511" spans="1:7" ht="31.5" x14ac:dyDescent="0.25">
      <c r="A511" s="14">
        <v>510</v>
      </c>
      <c r="B511" s="15" t="s">
        <v>1804</v>
      </c>
      <c r="C511" s="16" t="s">
        <v>1805</v>
      </c>
      <c r="D511" s="17" t="s">
        <v>1806</v>
      </c>
      <c r="E511" s="17" t="s">
        <v>33</v>
      </c>
      <c r="F511" s="20" t="s">
        <v>1807</v>
      </c>
      <c r="G511" s="18" t="s">
        <v>17</v>
      </c>
    </row>
    <row r="512" spans="1:7" ht="31.5" x14ac:dyDescent="0.25">
      <c r="A512" s="14">
        <v>511</v>
      </c>
      <c r="B512" s="15" t="s">
        <v>1065</v>
      </c>
      <c r="C512" s="16" t="s">
        <v>1808</v>
      </c>
      <c r="D512" s="17" t="s">
        <v>1809</v>
      </c>
      <c r="E512" s="17" t="s">
        <v>33</v>
      </c>
      <c r="F512" s="20" t="s">
        <v>1810</v>
      </c>
      <c r="G512" s="18" t="s">
        <v>11</v>
      </c>
    </row>
    <row r="513" spans="1:7" ht="31.5" x14ac:dyDescent="0.25">
      <c r="A513" s="14">
        <v>512</v>
      </c>
      <c r="B513" s="15" t="s">
        <v>1811</v>
      </c>
      <c r="C513" s="16" t="s">
        <v>1812</v>
      </c>
      <c r="D513" s="17" t="s">
        <v>1813</v>
      </c>
      <c r="E513" s="17" t="s">
        <v>33</v>
      </c>
      <c r="F513" s="20" t="s">
        <v>1814</v>
      </c>
      <c r="G513" s="18" t="s">
        <v>14</v>
      </c>
    </row>
    <row r="514" spans="1:7" ht="31.5" customHeight="1" x14ac:dyDescent="0.25">
      <c r="A514" s="14">
        <v>513</v>
      </c>
      <c r="B514" s="15" t="s">
        <v>1815</v>
      </c>
      <c r="C514" s="16" t="s">
        <v>1816</v>
      </c>
      <c r="D514" s="17" t="s">
        <v>1817</v>
      </c>
      <c r="E514" s="17" t="s">
        <v>116</v>
      </c>
      <c r="F514" s="20" t="s">
        <v>1818</v>
      </c>
      <c r="G514" s="18" t="s">
        <v>17</v>
      </c>
    </row>
    <row r="515" spans="1:7" ht="31.5" x14ac:dyDescent="0.25">
      <c r="A515" s="14">
        <v>514</v>
      </c>
      <c r="B515" s="15" t="s">
        <v>1819</v>
      </c>
      <c r="C515" s="16" t="s">
        <v>1820</v>
      </c>
      <c r="D515" s="17" t="s">
        <v>1821</v>
      </c>
      <c r="E515" s="17" t="s">
        <v>116</v>
      </c>
      <c r="F515" s="20" t="s">
        <v>1822</v>
      </c>
      <c r="G515" s="18" t="s">
        <v>17</v>
      </c>
    </row>
    <row r="516" spans="1:7" ht="31.5" x14ac:dyDescent="0.25">
      <c r="A516" s="14">
        <v>515</v>
      </c>
      <c r="B516" s="15" t="s">
        <v>1823</v>
      </c>
      <c r="C516" s="16" t="s">
        <v>1824</v>
      </c>
      <c r="D516" s="17" t="s">
        <v>1825</v>
      </c>
      <c r="E516" s="17" t="s">
        <v>33</v>
      </c>
      <c r="F516" s="20" t="s">
        <v>1826</v>
      </c>
      <c r="G516" s="18" t="s">
        <v>17</v>
      </c>
    </row>
    <row r="517" spans="1:7" ht="31.5" x14ac:dyDescent="0.25">
      <c r="A517" s="14">
        <v>516</v>
      </c>
      <c r="B517" s="15" t="s">
        <v>1827</v>
      </c>
      <c r="C517" s="16" t="s">
        <v>1828</v>
      </c>
      <c r="D517" s="17" t="s">
        <v>1829</v>
      </c>
      <c r="E517" s="17" t="s">
        <v>33</v>
      </c>
      <c r="F517" s="20" t="s">
        <v>1830</v>
      </c>
      <c r="G517" s="18" t="s">
        <v>17</v>
      </c>
    </row>
    <row r="518" spans="1:7" ht="31.5" x14ac:dyDescent="0.25">
      <c r="A518" s="14">
        <v>517</v>
      </c>
      <c r="B518" s="15" t="s">
        <v>149</v>
      </c>
      <c r="C518" s="16" t="s">
        <v>1831</v>
      </c>
      <c r="D518" s="17" t="s">
        <v>1832</v>
      </c>
      <c r="E518" s="17" t="s">
        <v>33</v>
      </c>
      <c r="F518" s="20" t="s">
        <v>1833</v>
      </c>
      <c r="G518" s="18" t="s">
        <v>17</v>
      </c>
    </row>
    <row r="519" spans="1:7" ht="14.1" customHeight="1" x14ac:dyDescent="0.25">
      <c r="A519" s="14">
        <v>518</v>
      </c>
      <c r="B519" s="15" t="s">
        <v>1834</v>
      </c>
      <c r="C519" s="16" t="s">
        <v>1835</v>
      </c>
      <c r="D519" s="17" t="s">
        <v>1836</v>
      </c>
      <c r="E519" s="17" t="s">
        <v>33</v>
      </c>
      <c r="F519" s="24" t="s">
        <v>1837</v>
      </c>
      <c r="G519" s="18" t="s">
        <v>10</v>
      </c>
    </row>
    <row r="520" spans="1:7" ht="31.5" x14ac:dyDescent="0.25">
      <c r="A520" s="14">
        <v>519</v>
      </c>
      <c r="B520" s="15" t="s">
        <v>1838</v>
      </c>
      <c r="C520" s="16" t="s">
        <v>1839</v>
      </c>
      <c r="D520" s="17" t="s">
        <v>1840</v>
      </c>
      <c r="E520" s="17" t="s">
        <v>33</v>
      </c>
      <c r="F520" s="20" t="s">
        <v>1841</v>
      </c>
      <c r="G520" s="18" t="s">
        <v>17</v>
      </c>
    </row>
    <row r="521" spans="1:7" ht="31.5" x14ac:dyDescent="0.25">
      <c r="A521" s="14">
        <v>520</v>
      </c>
      <c r="B521" s="15" t="s">
        <v>1842</v>
      </c>
      <c r="C521" s="16" t="s">
        <v>1843</v>
      </c>
      <c r="D521" s="17" t="s">
        <v>1844</v>
      </c>
      <c r="E521" s="17" t="s">
        <v>33</v>
      </c>
      <c r="F521" s="20" t="s">
        <v>1845</v>
      </c>
      <c r="G521" s="18" t="s">
        <v>17</v>
      </c>
    </row>
    <row r="522" spans="1:7" ht="31.5" x14ac:dyDescent="0.25">
      <c r="A522" s="14">
        <v>521</v>
      </c>
      <c r="B522" s="15" t="s">
        <v>1846</v>
      </c>
      <c r="C522" s="16" t="s">
        <v>1847</v>
      </c>
      <c r="D522" s="17" t="s">
        <v>1836</v>
      </c>
      <c r="E522" s="17" t="s">
        <v>33</v>
      </c>
      <c r="F522" s="24" t="s">
        <v>1848</v>
      </c>
      <c r="G522" s="18" t="s">
        <v>10</v>
      </c>
    </row>
    <row r="523" spans="1:7" ht="31.5" x14ac:dyDescent="0.25">
      <c r="A523" s="14">
        <v>522</v>
      </c>
      <c r="B523" s="15" t="s">
        <v>1849</v>
      </c>
      <c r="C523" s="16" t="s">
        <v>1850</v>
      </c>
      <c r="D523" s="17" t="s">
        <v>1851</v>
      </c>
      <c r="E523" s="17" t="s">
        <v>33</v>
      </c>
      <c r="F523" s="20" t="s">
        <v>1852</v>
      </c>
      <c r="G523" s="18" t="s">
        <v>19</v>
      </c>
    </row>
    <row r="524" spans="1:7" ht="31.5" x14ac:dyDescent="0.25">
      <c r="A524" s="14">
        <v>523</v>
      </c>
      <c r="B524" s="15" t="s">
        <v>1853</v>
      </c>
      <c r="C524" s="16" t="s">
        <v>1854</v>
      </c>
      <c r="D524" s="17" t="s">
        <v>1855</v>
      </c>
      <c r="E524" s="17" t="s">
        <v>33</v>
      </c>
      <c r="F524" s="24" t="s">
        <v>1856</v>
      </c>
      <c r="G524" s="18" t="s">
        <v>20</v>
      </c>
    </row>
    <row r="525" spans="1:7" ht="31.5" x14ac:dyDescent="0.25">
      <c r="A525" s="14">
        <v>524</v>
      </c>
      <c r="B525" s="15" t="s">
        <v>1857</v>
      </c>
      <c r="C525" s="16" t="s">
        <v>1858</v>
      </c>
      <c r="D525" s="17" t="s">
        <v>1859</v>
      </c>
      <c r="E525" s="17" t="s">
        <v>33</v>
      </c>
      <c r="F525" s="24" t="s">
        <v>1860</v>
      </c>
      <c r="G525" s="18" t="s">
        <v>8</v>
      </c>
    </row>
    <row r="526" spans="1:7" ht="31.5" x14ac:dyDescent="0.25">
      <c r="A526" s="14">
        <v>525</v>
      </c>
      <c r="B526" s="15" t="s">
        <v>1861</v>
      </c>
      <c r="C526" s="16" t="s">
        <v>1862</v>
      </c>
      <c r="D526" s="17" t="s">
        <v>1863</v>
      </c>
      <c r="E526" s="17" t="s">
        <v>33</v>
      </c>
      <c r="F526" s="24" t="s">
        <v>1864</v>
      </c>
      <c r="G526" s="18" t="s">
        <v>15</v>
      </c>
    </row>
    <row r="527" spans="1:7" ht="31.5" x14ac:dyDescent="0.25">
      <c r="A527" s="14">
        <v>526</v>
      </c>
      <c r="B527" s="15" t="s">
        <v>1865</v>
      </c>
      <c r="C527" s="16" t="s">
        <v>1866</v>
      </c>
      <c r="D527" s="17" t="s">
        <v>1867</v>
      </c>
      <c r="E527" s="17" t="s">
        <v>33</v>
      </c>
      <c r="F527" s="24" t="s">
        <v>1868</v>
      </c>
      <c r="G527" s="18" t="s">
        <v>13</v>
      </c>
    </row>
    <row r="528" spans="1:7" ht="31.5" x14ac:dyDescent="0.25">
      <c r="A528" s="14">
        <v>527</v>
      </c>
      <c r="B528" s="15" t="s">
        <v>1869</v>
      </c>
      <c r="C528" s="16" t="s">
        <v>1870</v>
      </c>
      <c r="D528" s="17" t="s">
        <v>1867</v>
      </c>
      <c r="E528" s="17" t="s">
        <v>33</v>
      </c>
      <c r="F528" s="20" t="s">
        <v>1871</v>
      </c>
      <c r="G528" s="18" t="s">
        <v>13</v>
      </c>
    </row>
    <row r="529" spans="1:7" ht="31.5" x14ac:dyDescent="0.25">
      <c r="A529" s="14">
        <v>528</v>
      </c>
      <c r="B529" s="15" t="s">
        <v>1872</v>
      </c>
      <c r="C529" s="16" t="s">
        <v>1873</v>
      </c>
      <c r="D529" s="17" t="s">
        <v>1874</v>
      </c>
      <c r="E529" s="17" t="s">
        <v>33</v>
      </c>
      <c r="F529" s="24" t="s">
        <v>1875</v>
      </c>
      <c r="G529" s="18" t="s">
        <v>17</v>
      </c>
    </row>
    <row r="530" spans="1:7" ht="31.5" x14ac:dyDescent="0.25">
      <c r="A530" s="14">
        <v>529</v>
      </c>
      <c r="B530" s="15" t="s">
        <v>1876</v>
      </c>
      <c r="C530" s="16" t="s">
        <v>1748</v>
      </c>
      <c r="D530" s="17" t="s">
        <v>1877</v>
      </c>
      <c r="E530" s="17" t="s">
        <v>33</v>
      </c>
      <c r="F530" s="24" t="s">
        <v>1878</v>
      </c>
      <c r="G530" s="18" t="s">
        <v>17</v>
      </c>
    </row>
    <row r="531" spans="1:7" ht="31.5" x14ac:dyDescent="0.25">
      <c r="A531" s="14">
        <v>530</v>
      </c>
      <c r="B531" s="15" t="s">
        <v>1879</v>
      </c>
      <c r="C531" s="16" t="s">
        <v>1880</v>
      </c>
      <c r="D531" s="17" t="s">
        <v>1881</v>
      </c>
      <c r="E531" s="17" t="s">
        <v>33</v>
      </c>
      <c r="F531" s="20" t="s">
        <v>1882</v>
      </c>
      <c r="G531" s="18" t="s">
        <v>17</v>
      </c>
    </row>
    <row r="532" spans="1:7" ht="31.5" x14ac:dyDescent="0.25">
      <c r="A532" s="14">
        <v>531</v>
      </c>
      <c r="B532" s="15" t="s">
        <v>1883</v>
      </c>
      <c r="C532" s="16" t="s">
        <v>1884</v>
      </c>
      <c r="D532" s="17" t="s">
        <v>1885</v>
      </c>
      <c r="E532" s="17" t="s">
        <v>33</v>
      </c>
      <c r="F532" s="24" t="s">
        <v>1886</v>
      </c>
      <c r="G532" s="18" t="s">
        <v>10</v>
      </c>
    </row>
    <row r="533" spans="1:7" ht="31.5" x14ac:dyDescent="0.25">
      <c r="A533" s="14">
        <v>532</v>
      </c>
      <c r="B533" s="15" t="s">
        <v>1887</v>
      </c>
      <c r="C533" s="16" t="s">
        <v>1888</v>
      </c>
      <c r="D533" s="17" t="s">
        <v>1889</v>
      </c>
      <c r="E533" s="17" t="s">
        <v>33</v>
      </c>
      <c r="F533" s="20" t="s">
        <v>1890</v>
      </c>
      <c r="G533" s="18" t="s">
        <v>21</v>
      </c>
    </row>
    <row r="534" spans="1:7" ht="31.5" x14ac:dyDescent="0.25">
      <c r="A534" s="14">
        <v>533</v>
      </c>
      <c r="B534" s="15" t="s">
        <v>1891</v>
      </c>
      <c r="C534" s="16" t="s">
        <v>1892</v>
      </c>
      <c r="D534" s="17" t="s">
        <v>1893</v>
      </c>
      <c r="E534" s="17" t="s">
        <v>33</v>
      </c>
      <c r="F534" s="20" t="s">
        <v>1894</v>
      </c>
      <c r="G534" s="18" t="s">
        <v>17</v>
      </c>
    </row>
    <row r="535" spans="1:7" ht="31.5" customHeight="1" x14ac:dyDescent="0.25">
      <c r="A535" s="14">
        <v>534</v>
      </c>
      <c r="B535" s="15" t="s">
        <v>1895</v>
      </c>
      <c r="C535" s="16" t="s">
        <v>1896</v>
      </c>
      <c r="D535" s="17" t="s">
        <v>1897</v>
      </c>
      <c r="E535" s="17" t="s">
        <v>33</v>
      </c>
      <c r="F535" s="24" t="s">
        <v>1898</v>
      </c>
      <c r="G535" s="18" t="s">
        <v>17</v>
      </c>
    </row>
    <row r="536" spans="1:7" ht="31.5" x14ac:dyDescent="0.25">
      <c r="A536" s="14">
        <v>535</v>
      </c>
      <c r="B536" s="15" t="s">
        <v>1876</v>
      </c>
      <c r="C536" s="16" t="s">
        <v>1899</v>
      </c>
      <c r="D536" s="17" t="s">
        <v>1900</v>
      </c>
      <c r="E536" s="17" t="s">
        <v>33</v>
      </c>
      <c r="F536" s="20" t="s">
        <v>1901</v>
      </c>
      <c r="G536" s="18" t="s">
        <v>17</v>
      </c>
    </row>
    <row r="537" spans="1:7" ht="31.5" x14ac:dyDescent="0.25">
      <c r="A537" s="14">
        <v>536</v>
      </c>
      <c r="B537" s="15" t="s">
        <v>1902</v>
      </c>
      <c r="C537" s="16" t="s">
        <v>1903</v>
      </c>
      <c r="D537" s="17" t="s">
        <v>1904</v>
      </c>
      <c r="E537" s="17" t="s">
        <v>33</v>
      </c>
      <c r="F537" s="20" t="s">
        <v>1905</v>
      </c>
      <c r="G537" s="18" t="s">
        <v>17</v>
      </c>
    </row>
    <row r="538" spans="1:7" ht="31.5" x14ac:dyDescent="0.25">
      <c r="A538" s="14">
        <v>537</v>
      </c>
      <c r="B538" s="15" t="s">
        <v>1906</v>
      </c>
      <c r="C538" s="16" t="s">
        <v>1907</v>
      </c>
      <c r="D538" s="17" t="s">
        <v>1908</v>
      </c>
      <c r="E538" s="17" t="s">
        <v>33</v>
      </c>
      <c r="F538" s="20" t="s">
        <v>1909</v>
      </c>
      <c r="G538" s="18" t="s">
        <v>17</v>
      </c>
    </row>
    <row r="539" spans="1:7" ht="31.5" x14ac:dyDescent="0.25">
      <c r="A539" s="14">
        <v>538</v>
      </c>
      <c r="B539" s="15" t="s">
        <v>1910</v>
      </c>
      <c r="C539" s="16" t="s">
        <v>1911</v>
      </c>
      <c r="D539" s="17" t="s">
        <v>1200</v>
      </c>
      <c r="E539" s="17" t="s">
        <v>33</v>
      </c>
      <c r="F539" s="24" t="s">
        <v>1912</v>
      </c>
      <c r="G539" s="18" t="s">
        <v>17</v>
      </c>
    </row>
    <row r="540" spans="1:7" ht="31.5" x14ac:dyDescent="0.25">
      <c r="A540" s="14">
        <v>539</v>
      </c>
      <c r="B540" s="15" t="s">
        <v>1913</v>
      </c>
      <c r="C540" s="16" t="s">
        <v>1914</v>
      </c>
      <c r="D540" s="17" t="s">
        <v>1915</v>
      </c>
      <c r="E540" s="17" t="s">
        <v>33</v>
      </c>
      <c r="F540" s="24" t="s">
        <v>1916</v>
      </c>
      <c r="G540" s="18" t="s">
        <v>21</v>
      </c>
    </row>
    <row r="541" spans="1:7" ht="31.5" x14ac:dyDescent="0.25">
      <c r="A541" s="14">
        <v>540</v>
      </c>
      <c r="B541" s="15" t="s">
        <v>1198</v>
      </c>
      <c r="C541" s="16" t="s">
        <v>1917</v>
      </c>
      <c r="D541" s="17" t="s">
        <v>1918</v>
      </c>
      <c r="E541" s="17" t="s">
        <v>33</v>
      </c>
      <c r="F541" s="20" t="s">
        <v>1919</v>
      </c>
      <c r="G541" s="18" t="s">
        <v>14</v>
      </c>
    </row>
    <row r="542" spans="1:7" ht="31.5" customHeight="1" x14ac:dyDescent="0.25">
      <c r="A542" s="14">
        <v>541</v>
      </c>
      <c r="B542" s="15" t="s">
        <v>1920</v>
      </c>
      <c r="C542" s="16" t="s">
        <v>1921</v>
      </c>
      <c r="D542" s="17" t="s">
        <v>1922</v>
      </c>
      <c r="E542" s="17" t="s">
        <v>33</v>
      </c>
      <c r="F542" s="20" t="s">
        <v>1923</v>
      </c>
      <c r="G542" s="18" t="s">
        <v>17</v>
      </c>
    </row>
    <row r="543" spans="1:7" ht="31.5" customHeight="1" x14ac:dyDescent="0.25">
      <c r="A543" s="14">
        <v>542</v>
      </c>
      <c r="B543" s="15" t="s">
        <v>1924</v>
      </c>
      <c r="C543" s="16" t="s">
        <v>1925</v>
      </c>
      <c r="D543" s="17" t="s">
        <v>1926</v>
      </c>
      <c r="E543" s="17" t="s">
        <v>33</v>
      </c>
      <c r="F543" s="20" t="s">
        <v>1927</v>
      </c>
      <c r="G543" s="18" t="s">
        <v>17</v>
      </c>
    </row>
    <row r="544" spans="1:7" ht="31.5" x14ac:dyDescent="0.25">
      <c r="A544" s="14">
        <v>543</v>
      </c>
      <c r="B544" s="15" t="s">
        <v>1928</v>
      </c>
      <c r="C544" s="16" t="s">
        <v>1929</v>
      </c>
      <c r="D544" s="17" t="s">
        <v>1930</v>
      </c>
      <c r="E544" s="17" t="s">
        <v>33</v>
      </c>
      <c r="F544" s="24" t="s">
        <v>1931</v>
      </c>
      <c r="G544" s="18" t="s">
        <v>4</v>
      </c>
    </row>
    <row r="545" spans="1:7" ht="31.5" x14ac:dyDescent="0.25">
      <c r="A545" s="14">
        <v>544</v>
      </c>
      <c r="B545" s="15" t="s">
        <v>1932</v>
      </c>
      <c r="C545" s="16" t="s">
        <v>1933</v>
      </c>
      <c r="D545" s="17" t="s">
        <v>1934</v>
      </c>
      <c r="E545" s="17" t="s">
        <v>33</v>
      </c>
      <c r="F545" s="24" t="s">
        <v>1935</v>
      </c>
      <c r="G545" s="18" t="s">
        <v>19</v>
      </c>
    </row>
    <row r="546" spans="1:7" ht="31.5" x14ac:dyDescent="0.25">
      <c r="A546" s="14">
        <v>545</v>
      </c>
      <c r="B546" s="15" t="s">
        <v>1936</v>
      </c>
      <c r="C546" s="16" t="s">
        <v>1937</v>
      </c>
      <c r="D546" s="17" t="s">
        <v>1938</v>
      </c>
      <c r="E546" s="17" t="s">
        <v>33</v>
      </c>
      <c r="F546" s="20" t="s">
        <v>1939</v>
      </c>
      <c r="G546" s="18" t="s">
        <v>17</v>
      </c>
    </row>
    <row r="547" spans="1:7" ht="31.5" x14ac:dyDescent="0.25">
      <c r="A547" s="14">
        <v>546</v>
      </c>
      <c r="B547" s="15" t="s">
        <v>1940</v>
      </c>
      <c r="C547" s="16" t="s">
        <v>1941</v>
      </c>
      <c r="D547" s="17" t="s">
        <v>442</v>
      </c>
      <c r="E547" s="17" t="s">
        <v>33</v>
      </c>
      <c r="F547" s="20" t="s">
        <v>443</v>
      </c>
      <c r="G547" s="18" t="s">
        <v>17</v>
      </c>
    </row>
    <row r="548" spans="1:7" ht="31.5" x14ac:dyDescent="0.25">
      <c r="A548" s="14">
        <v>547</v>
      </c>
      <c r="B548" s="15" t="s">
        <v>1942</v>
      </c>
      <c r="C548" s="16" t="s">
        <v>1943</v>
      </c>
      <c r="D548" s="17" t="s">
        <v>1944</v>
      </c>
      <c r="E548" s="17" t="s">
        <v>33</v>
      </c>
      <c r="F548" s="20" t="s">
        <v>1945</v>
      </c>
      <c r="G548" s="18" t="s">
        <v>17</v>
      </c>
    </row>
    <row r="549" spans="1:7" ht="31.5" x14ac:dyDescent="0.25">
      <c r="A549" s="14">
        <v>548</v>
      </c>
      <c r="B549" s="15" t="s">
        <v>1946</v>
      </c>
      <c r="C549" s="16" t="s">
        <v>1947</v>
      </c>
      <c r="D549" s="17" t="s">
        <v>1948</v>
      </c>
      <c r="E549" s="17" t="s">
        <v>33</v>
      </c>
      <c r="F549" s="24" t="s">
        <v>1949</v>
      </c>
      <c r="G549" s="18" t="s">
        <v>5</v>
      </c>
    </row>
    <row r="550" spans="1:7" ht="31.5" x14ac:dyDescent="0.25">
      <c r="A550" s="14">
        <v>549</v>
      </c>
      <c r="B550" s="15" t="s">
        <v>1950</v>
      </c>
      <c r="C550" s="16" t="s">
        <v>1951</v>
      </c>
      <c r="D550" s="17" t="s">
        <v>1952</v>
      </c>
      <c r="E550" s="17" t="s">
        <v>33</v>
      </c>
      <c r="F550" s="20" t="s">
        <v>1953</v>
      </c>
      <c r="G550" s="18" t="s">
        <v>19</v>
      </c>
    </row>
    <row r="551" spans="1:7" ht="14.1" customHeight="1" x14ac:dyDescent="0.25">
      <c r="A551" s="14">
        <v>550</v>
      </c>
      <c r="B551" s="15" t="s">
        <v>1954</v>
      </c>
      <c r="C551" s="16" t="s">
        <v>1955</v>
      </c>
      <c r="D551" s="17" t="s">
        <v>1956</v>
      </c>
      <c r="E551" s="17" t="s">
        <v>33</v>
      </c>
      <c r="F551" s="20" t="s">
        <v>1957</v>
      </c>
      <c r="G551" s="18" t="s">
        <v>14</v>
      </c>
    </row>
    <row r="552" spans="1:7" ht="31.5" x14ac:dyDescent="0.25">
      <c r="A552" s="14">
        <v>551</v>
      </c>
      <c r="B552" s="15" t="s">
        <v>1958</v>
      </c>
      <c r="C552" s="16" t="s">
        <v>1959</v>
      </c>
      <c r="D552" s="17" t="s">
        <v>293</v>
      </c>
      <c r="E552" s="17" t="s">
        <v>33</v>
      </c>
      <c r="F552" s="24" t="s">
        <v>1960</v>
      </c>
      <c r="G552" s="18" t="s">
        <v>9</v>
      </c>
    </row>
    <row r="553" spans="1:7" ht="31.5" x14ac:dyDescent="0.25">
      <c r="A553" s="14">
        <v>552</v>
      </c>
      <c r="B553" s="15" t="s">
        <v>1961</v>
      </c>
      <c r="C553" s="16" t="s">
        <v>1962</v>
      </c>
      <c r="D553" s="17" t="s">
        <v>1963</v>
      </c>
      <c r="E553" s="17" t="s">
        <v>33</v>
      </c>
      <c r="F553" s="24" t="s">
        <v>1964</v>
      </c>
      <c r="G553" s="18" t="s">
        <v>10</v>
      </c>
    </row>
    <row r="554" spans="1:7" ht="31.5" x14ac:dyDescent="0.25">
      <c r="A554" s="14">
        <v>553</v>
      </c>
      <c r="B554" s="15" t="s">
        <v>1965</v>
      </c>
      <c r="C554" s="16" t="s">
        <v>1966</v>
      </c>
      <c r="D554" s="17" t="s">
        <v>1967</v>
      </c>
      <c r="E554" s="17" t="s">
        <v>33</v>
      </c>
      <c r="F554" s="24" t="s">
        <v>1968</v>
      </c>
      <c r="G554" s="18" t="s">
        <v>10</v>
      </c>
    </row>
    <row r="555" spans="1:7" x14ac:dyDescent="0.25">
      <c r="A555" s="14">
        <v>554</v>
      </c>
      <c r="B555" s="15" t="s">
        <v>1969</v>
      </c>
      <c r="C555" s="16" t="s">
        <v>1970</v>
      </c>
      <c r="D555" s="17" t="s">
        <v>1971</v>
      </c>
      <c r="E555" s="17" t="s">
        <v>33</v>
      </c>
      <c r="F555" s="32" t="s">
        <v>1972</v>
      </c>
      <c r="G555" s="18" t="s">
        <v>4</v>
      </c>
    </row>
    <row r="556" spans="1:7" ht="31.5" x14ac:dyDescent="0.25">
      <c r="A556" s="14">
        <v>555</v>
      </c>
      <c r="B556" s="15" t="s">
        <v>71</v>
      </c>
      <c r="C556" s="16" t="s">
        <v>1973</v>
      </c>
      <c r="D556" s="17" t="s">
        <v>289</v>
      </c>
      <c r="E556" s="17" t="s">
        <v>33</v>
      </c>
      <c r="F556" s="24" t="s">
        <v>1974</v>
      </c>
      <c r="G556" s="18" t="s">
        <v>10</v>
      </c>
    </row>
    <row r="557" spans="1:7" ht="31.5" customHeight="1" x14ac:dyDescent="0.25">
      <c r="A557" s="14">
        <v>556</v>
      </c>
      <c r="B557" s="15" t="s">
        <v>1975</v>
      </c>
      <c r="C557" s="16" t="s">
        <v>1976</v>
      </c>
      <c r="D557" s="17" t="s">
        <v>1977</v>
      </c>
      <c r="E557" s="17" t="s">
        <v>33</v>
      </c>
      <c r="F557" s="20" t="s">
        <v>1978</v>
      </c>
      <c r="G557" s="18" t="s">
        <v>17</v>
      </c>
    </row>
    <row r="558" spans="1:7" ht="31.5" x14ac:dyDescent="0.25">
      <c r="A558" s="14">
        <v>557</v>
      </c>
      <c r="B558" s="15" t="s">
        <v>1979</v>
      </c>
      <c r="C558" s="16" t="s">
        <v>1980</v>
      </c>
      <c r="D558" s="17" t="s">
        <v>1981</v>
      </c>
      <c r="E558" s="17" t="s">
        <v>116</v>
      </c>
      <c r="F558" s="24" t="s">
        <v>1982</v>
      </c>
      <c r="G558" s="18" t="s">
        <v>10</v>
      </c>
    </row>
    <row r="559" spans="1:7" ht="31.5" x14ac:dyDescent="0.25">
      <c r="A559" s="14">
        <v>558</v>
      </c>
      <c r="B559" s="15" t="s">
        <v>1983</v>
      </c>
      <c r="C559" s="16" t="s">
        <v>1984</v>
      </c>
      <c r="D559" s="17" t="s">
        <v>1985</v>
      </c>
      <c r="E559" s="17" t="s">
        <v>33</v>
      </c>
      <c r="F559" s="20" t="s">
        <v>1986</v>
      </c>
      <c r="G559" s="18" t="s">
        <v>9</v>
      </c>
    </row>
    <row r="560" spans="1:7" ht="31.5" x14ac:dyDescent="0.25">
      <c r="A560" s="14">
        <v>559</v>
      </c>
      <c r="B560" s="15" t="s">
        <v>1987</v>
      </c>
      <c r="C560" s="16" t="s">
        <v>1988</v>
      </c>
      <c r="D560" s="17" t="s">
        <v>1989</v>
      </c>
      <c r="E560" s="17" t="s">
        <v>33</v>
      </c>
      <c r="F560" s="24" t="s">
        <v>1990</v>
      </c>
      <c r="G560" s="18" t="s">
        <v>10</v>
      </c>
    </row>
    <row r="561" spans="1:7" ht="14.1" customHeight="1" x14ac:dyDescent="0.25">
      <c r="A561" s="14">
        <v>560</v>
      </c>
      <c r="B561" s="15" t="s">
        <v>1747</v>
      </c>
      <c r="C561" s="16" t="s">
        <v>1991</v>
      </c>
      <c r="D561" s="17" t="s">
        <v>1992</v>
      </c>
      <c r="E561" s="17" t="s">
        <v>33</v>
      </c>
      <c r="F561" s="20" t="s">
        <v>1993</v>
      </c>
      <c r="G561" s="18" t="s">
        <v>14</v>
      </c>
    </row>
    <row r="562" spans="1:7" ht="31.5" x14ac:dyDescent="0.25">
      <c r="A562" s="14">
        <v>561</v>
      </c>
      <c r="B562" s="15" t="s">
        <v>1994</v>
      </c>
      <c r="C562" s="16" t="s">
        <v>1995</v>
      </c>
      <c r="D562" s="17" t="s">
        <v>1996</v>
      </c>
      <c r="E562" s="17" t="s">
        <v>33</v>
      </c>
      <c r="F562" s="20" t="s">
        <v>1997</v>
      </c>
      <c r="G562" s="18" t="s">
        <v>17</v>
      </c>
    </row>
    <row r="563" spans="1:7" ht="31.5" x14ac:dyDescent="0.25">
      <c r="A563" s="14">
        <v>562</v>
      </c>
      <c r="B563" s="15" t="s">
        <v>1998</v>
      </c>
      <c r="C563" s="16" t="s">
        <v>560</v>
      </c>
      <c r="D563" s="17" t="s">
        <v>561</v>
      </c>
      <c r="E563" s="17" t="s">
        <v>33</v>
      </c>
      <c r="F563" s="20" t="s">
        <v>562</v>
      </c>
      <c r="G563" s="18" t="s">
        <v>17</v>
      </c>
    </row>
    <row r="564" spans="1:7" ht="31.5" x14ac:dyDescent="0.25">
      <c r="A564" s="14">
        <v>563</v>
      </c>
      <c r="B564" s="15" t="s">
        <v>1999</v>
      </c>
      <c r="C564" s="16" t="s">
        <v>2000</v>
      </c>
      <c r="D564" s="17" t="s">
        <v>2001</v>
      </c>
      <c r="E564" s="17" t="s">
        <v>33</v>
      </c>
      <c r="F564" s="20" t="s">
        <v>2002</v>
      </c>
      <c r="G564" s="18" t="s">
        <v>17</v>
      </c>
    </row>
    <row r="565" spans="1:7" ht="31.5" x14ac:dyDescent="0.25">
      <c r="A565" s="14">
        <v>564</v>
      </c>
      <c r="B565" s="15" t="s">
        <v>2003</v>
      </c>
      <c r="C565" s="16" t="s">
        <v>2004</v>
      </c>
      <c r="D565" s="17" t="s">
        <v>2005</v>
      </c>
      <c r="E565" s="17" t="s">
        <v>33</v>
      </c>
      <c r="F565" s="20" t="s">
        <v>2006</v>
      </c>
      <c r="G565" s="18" t="s">
        <v>17</v>
      </c>
    </row>
    <row r="566" spans="1:7" ht="31.5" x14ac:dyDescent="0.25">
      <c r="A566" s="14">
        <v>565</v>
      </c>
      <c r="B566" s="15" t="s">
        <v>2007</v>
      </c>
      <c r="C566" s="16" t="s">
        <v>2008</v>
      </c>
      <c r="D566" s="17" t="s">
        <v>1555</v>
      </c>
      <c r="E566" s="17" t="s">
        <v>33</v>
      </c>
      <c r="F566" s="24" t="s">
        <v>2009</v>
      </c>
      <c r="G566" s="18" t="s">
        <v>13</v>
      </c>
    </row>
    <row r="567" spans="1:7" ht="31.5" x14ac:dyDescent="0.25">
      <c r="A567" s="14">
        <v>566</v>
      </c>
      <c r="B567" s="15" t="s">
        <v>2010</v>
      </c>
      <c r="C567" s="16" t="s">
        <v>2011</v>
      </c>
      <c r="D567" s="17" t="s">
        <v>2012</v>
      </c>
      <c r="E567" s="17" t="s">
        <v>33</v>
      </c>
      <c r="F567" s="20" t="s">
        <v>2013</v>
      </c>
      <c r="G567" s="18" t="s">
        <v>17</v>
      </c>
    </row>
    <row r="568" spans="1:7" ht="31.5" customHeight="1" x14ac:dyDescent="0.25">
      <c r="A568" s="14">
        <v>567</v>
      </c>
      <c r="B568" s="15" t="s">
        <v>2014</v>
      </c>
      <c r="C568" s="16" t="s">
        <v>2015</v>
      </c>
      <c r="D568" s="17" t="s">
        <v>2016</v>
      </c>
      <c r="E568" s="17" t="s">
        <v>33</v>
      </c>
      <c r="F568" s="20" t="s">
        <v>2017</v>
      </c>
      <c r="G568" s="18" t="s">
        <v>17</v>
      </c>
    </row>
    <row r="569" spans="1:7" ht="31.5" x14ac:dyDescent="0.25">
      <c r="A569" s="14">
        <v>568</v>
      </c>
      <c r="B569" s="15" t="s">
        <v>2018</v>
      </c>
      <c r="C569" s="16" t="s">
        <v>2019</v>
      </c>
      <c r="D569" s="17" t="s">
        <v>2020</v>
      </c>
      <c r="E569" s="17" t="s">
        <v>33</v>
      </c>
      <c r="F569" s="20" t="s">
        <v>2021</v>
      </c>
      <c r="G569" s="18" t="s">
        <v>10</v>
      </c>
    </row>
    <row r="570" spans="1:7" ht="31.5" x14ac:dyDescent="0.25">
      <c r="A570" s="14">
        <v>569</v>
      </c>
      <c r="B570" s="15" t="s">
        <v>2022</v>
      </c>
      <c r="C570" s="16" t="s">
        <v>2023</v>
      </c>
      <c r="D570" s="17" t="s">
        <v>2024</v>
      </c>
      <c r="E570" s="17" t="s">
        <v>33</v>
      </c>
      <c r="F570" s="24" t="s">
        <v>2025</v>
      </c>
      <c r="G570" s="18" t="s">
        <v>4</v>
      </c>
    </row>
    <row r="571" spans="1:7" ht="31.5" customHeight="1" x14ac:dyDescent="0.25">
      <c r="A571" s="14">
        <v>570</v>
      </c>
      <c r="B571" s="15" t="s">
        <v>2026</v>
      </c>
      <c r="C571" s="16" t="s">
        <v>2027</v>
      </c>
      <c r="D571" s="17" t="s">
        <v>2028</v>
      </c>
      <c r="E571" s="17" t="s">
        <v>33</v>
      </c>
      <c r="F571" s="20" t="s">
        <v>2029</v>
      </c>
      <c r="G571" s="18" t="s">
        <v>17</v>
      </c>
    </row>
    <row r="572" spans="1:7" ht="31.5" x14ac:dyDescent="0.25">
      <c r="A572" s="14">
        <v>571</v>
      </c>
      <c r="B572" s="15" t="s">
        <v>2030</v>
      </c>
      <c r="C572" s="16" t="s">
        <v>482</v>
      </c>
      <c r="D572" s="17" t="s">
        <v>2031</v>
      </c>
      <c r="E572" s="17" t="s">
        <v>33</v>
      </c>
      <c r="F572" s="20" t="s">
        <v>2032</v>
      </c>
      <c r="G572" s="18" t="s">
        <v>17</v>
      </c>
    </row>
    <row r="573" spans="1:7" ht="31.5" x14ac:dyDescent="0.25">
      <c r="A573" s="14">
        <v>572</v>
      </c>
      <c r="B573" s="15" t="s">
        <v>2033</v>
      </c>
      <c r="C573" s="16" t="s">
        <v>2034</v>
      </c>
      <c r="D573" s="17" t="s">
        <v>2035</v>
      </c>
      <c r="E573" s="17" t="s">
        <v>33</v>
      </c>
      <c r="F573" s="20" t="s">
        <v>2036</v>
      </c>
      <c r="G573" s="18" t="s">
        <v>17</v>
      </c>
    </row>
    <row r="574" spans="1:7" ht="31.5" x14ac:dyDescent="0.25">
      <c r="A574" s="14">
        <v>573</v>
      </c>
      <c r="B574" s="15" t="s">
        <v>2037</v>
      </c>
      <c r="C574" s="16" t="s">
        <v>2038</v>
      </c>
      <c r="D574" s="17" t="s">
        <v>2039</v>
      </c>
      <c r="E574" s="17" t="s">
        <v>33</v>
      </c>
      <c r="F574" s="20" t="s">
        <v>2040</v>
      </c>
      <c r="G574" s="18" t="s">
        <v>13</v>
      </c>
    </row>
    <row r="575" spans="1:7" ht="31.5" x14ac:dyDescent="0.25">
      <c r="A575" s="14">
        <v>574</v>
      </c>
      <c r="B575" s="15" t="s">
        <v>2041</v>
      </c>
      <c r="C575" s="16" t="s">
        <v>2042</v>
      </c>
      <c r="D575" s="17" t="s">
        <v>2043</v>
      </c>
      <c r="E575" s="17" t="s">
        <v>33</v>
      </c>
      <c r="F575" s="24" t="s">
        <v>2044</v>
      </c>
      <c r="G575" s="18" t="s">
        <v>5</v>
      </c>
    </row>
    <row r="576" spans="1:7" ht="31.5" x14ac:dyDescent="0.25">
      <c r="A576" s="14">
        <v>575</v>
      </c>
      <c r="B576" s="15" t="s">
        <v>2045</v>
      </c>
      <c r="C576" s="16" t="s">
        <v>2046</v>
      </c>
      <c r="D576" s="17" t="s">
        <v>2047</v>
      </c>
      <c r="E576" s="17" t="s">
        <v>33</v>
      </c>
      <c r="F576" s="22" t="s">
        <v>2048</v>
      </c>
      <c r="G576" s="18" t="s">
        <v>14</v>
      </c>
    </row>
    <row r="577" spans="1:7" ht="31.5" x14ac:dyDescent="0.25">
      <c r="A577" s="14">
        <v>576</v>
      </c>
      <c r="B577" s="15" t="s">
        <v>2049</v>
      </c>
      <c r="C577" s="16" t="s">
        <v>2050</v>
      </c>
      <c r="D577" s="17" t="s">
        <v>51</v>
      </c>
      <c r="E577" s="17" t="s">
        <v>33</v>
      </c>
      <c r="F577" s="24" t="s">
        <v>2051</v>
      </c>
      <c r="G577" s="18" t="s">
        <v>9</v>
      </c>
    </row>
    <row r="578" spans="1:7" ht="31.5" x14ac:dyDescent="0.25">
      <c r="A578" s="14">
        <v>577</v>
      </c>
      <c r="B578" s="15" t="s">
        <v>2052</v>
      </c>
      <c r="C578" s="16" t="s">
        <v>2053</v>
      </c>
      <c r="D578" s="17" t="s">
        <v>2054</v>
      </c>
      <c r="E578" s="17" t="s">
        <v>33</v>
      </c>
      <c r="F578" s="24" t="s">
        <v>2055</v>
      </c>
      <c r="G578" s="18" t="s">
        <v>17</v>
      </c>
    </row>
    <row r="579" spans="1:7" ht="31.5" x14ac:dyDescent="0.25">
      <c r="A579" s="14">
        <v>578</v>
      </c>
      <c r="B579" s="15" t="s">
        <v>2056</v>
      </c>
      <c r="C579" s="16" t="s">
        <v>2057</v>
      </c>
      <c r="D579" s="17" t="s">
        <v>2058</v>
      </c>
      <c r="E579" s="17" t="s">
        <v>33</v>
      </c>
      <c r="F579" s="19" t="s">
        <v>2059</v>
      </c>
      <c r="G579" s="18" t="s">
        <v>17</v>
      </c>
    </row>
    <row r="580" spans="1:7" ht="31.5" x14ac:dyDescent="0.25">
      <c r="A580" s="14">
        <v>579</v>
      </c>
      <c r="B580" s="15" t="s">
        <v>1198</v>
      </c>
      <c r="C580" s="16" t="s">
        <v>2060</v>
      </c>
      <c r="D580" s="17" t="s">
        <v>2061</v>
      </c>
      <c r="E580" s="17" t="s">
        <v>33</v>
      </c>
      <c r="F580" s="20" t="s">
        <v>2062</v>
      </c>
      <c r="G580" s="18" t="s">
        <v>17</v>
      </c>
    </row>
    <row r="581" spans="1:7" ht="31.5" x14ac:dyDescent="0.25">
      <c r="A581" s="14">
        <v>580</v>
      </c>
      <c r="B581" s="15" t="s">
        <v>2063</v>
      </c>
      <c r="C581" s="16" t="s">
        <v>2064</v>
      </c>
      <c r="D581" s="17" t="s">
        <v>2065</v>
      </c>
      <c r="E581" s="17" t="s">
        <v>33</v>
      </c>
      <c r="F581" s="24" t="s">
        <v>2066</v>
      </c>
      <c r="G581" s="18" t="s">
        <v>17</v>
      </c>
    </row>
    <row r="582" spans="1:7" ht="31.5" x14ac:dyDescent="0.25">
      <c r="A582" s="14">
        <v>581</v>
      </c>
      <c r="B582" s="15" t="s">
        <v>2067</v>
      </c>
      <c r="C582" s="16" t="s">
        <v>2046</v>
      </c>
      <c r="D582" s="17" t="s">
        <v>2047</v>
      </c>
      <c r="E582" s="17" t="s">
        <v>33</v>
      </c>
      <c r="F582" s="20" t="s">
        <v>2048</v>
      </c>
      <c r="G582" s="18" t="s">
        <v>14</v>
      </c>
    </row>
    <row r="583" spans="1:7" ht="31.5" x14ac:dyDescent="0.25">
      <c r="A583" s="14">
        <v>582</v>
      </c>
      <c r="B583" s="15" t="s">
        <v>2068</v>
      </c>
      <c r="C583" s="16" t="s">
        <v>2069</v>
      </c>
      <c r="D583" s="17" t="s">
        <v>2070</v>
      </c>
      <c r="E583" s="17" t="s">
        <v>33</v>
      </c>
      <c r="F583" s="20" t="s">
        <v>2071</v>
      </c>
      <c r="G583" s="18" t="s">
        <v>5</v>
      </c>
    </row>
    <row r="584" spans="1:7" ht="31.5" customHeight="1" x14ac:dyDescent="0.25">
      <c r="A584" s="14">
        <v>583</v>
      </c>
      <c r="B584" s="15" t="s">
        <v>2072</v>
      </c>
      <c r="C584" s="16" t="s">
        <v>2073</v>
      </c>
      <c r="D584" s="17" t="s">
        <v>2074</v>
      </c>
      <c r="E584" s="17" t="s">
        <v>33</v>
      </c>
      <c r="F584" s="24" t="s">
        <v>2075</v>
      </c>
      <c r="G584" s="18" t="s">
        <v>15</v>
      </c>
    </row>
    <row r="585" spans="1:7" ht="31.5" customHeight="1" x14ac:dyDescent="0.25">
      <c r="A585" s="14">
        <v>584</v>
      </c>
      <c r="B585" s="15" t="s">
        <v>2076</v>
      </c>
      <c r="C585" s="16" t="s">
        <v>894</v>
      </c>
      <c r="D585" s="17" t="s">
        <v>2077</v>
      </c>
      <c r="E585" s="17" t="s">
        <v>33</v>
      </c>
      <c r="F585" s="24" t="s">
        <v>2078</v>
      </c>
      <c r="G585" s="18" t="s">
        <v>15</v>
      </c>
    </row>
    <row r="586" spans="1:7" ht="31.5" x14ac:dyDescent="0.25">
      <c r="A586" s="14">
        <v>585</v>
      </c>
      <c r="B586" s="15" t="s">
        <v>2079</v>
      </c>
      <c r="C586" s="16" t="s">
        <v>2080</v>
      </c>
      <c r="D586" s="17" t="s">
        <v>2081</v>
      </c>
      <c r="E586" s="17" t="s">
        <v>33</v>
      </c>
      <c r="F586" s="20" t="s">
        <v>2082</v>
      </c>
      <c r="G586" s="18" t="s">
        <v>17</v>
      </c>
    </row>
    <row r="587" spans="1:7" ht="31.5" x14ac:dyDescent="0.25">
      <c r="A587" s="14">
        <v>586</v>
      </c>
      <c r="B587" s="15" t="s">
        <v>2083</v>
      </c>
      <c r="C587" s="16" t="s">
        <v>2084</v>
      </c>
      <c r="D587" s="17" t="s">
        <v>2085</v>
      </c>
      <c r="E587" s="17" t="s">
        <v>33</v>
      </c>
      <c r="F587" s="24" t="s">
        <v>2086</v>
      </c>
      <c r="G587" s="18" t="s">
        <v>17</v>
      </c>
    </row>
    <row r="588" spans="1:7" ht="31.5" customHeight="1" x14ac:dyDescent="0.25">
      <c r="A588" s="14">
        <v>587</v>
      </c>
      <c r="B588" s="15" t="s">
        <v>2087</v>
      </c>
      <c r="C588" s="16" t="s">
        <v>2088</v>
      </c>
      <c r="D588" s="17" t="s">
        <v>2089</v>
      </c>
      <c r="E588" s="17" t="s">
        <v>33</v>
      </c>
      <c r="F588" s="19" t="s">
        <v>2090</v>
      </c>
      <c r="G588" s="18" t="s">
        <v>17</v>
      </c>
    </row>
    <row r="589" spans="1:7" ht="31.5" customHeight="1" x14ac:dyDescent="0.25">
      <c r="A589" s="14">
        <v>588</v>
      </c>
      <c r="B589" s="15" t="s">
        <v>2091</v>
      </c>
      <c r="C589" s="16" t="s">
        <v>2092</v>
      </c>
      <c r="D589" s="17" t="s">
        <v>2093</v>
      </c>
      <c r="E589" s="17" t="s">
        <v>33</v>
      </c>
      <c r="F589" s="20" t="s">
        <v>2094</v>
      </c>
      <c r="G589" s="18" t="s">
        <v>17</v>
      </c>
    </row>
    <row r="590" spans="1:7" ht="31.5" x14ac:dyDescent="0.25">
      <c r="A590" s="14">
        <v>589</v>
      </c>
      <c r="B590" s="15" t="s">
        <v>2095</v>
      </c>
      <c r="C590" s="16" t="s">
        <v>2096</v>
      </c>
      <c r="D590" s="17" t="s">
        <v>2097</v>
      </c>
      <c r="E590" s="17" t="s">
        <v>33</v>
      </c>
      <c r="F590" s="22" t="s">
        <v>2098</v>
      </c>
      <c r="G590" s="18" t="s">
        <v>17</v>
      </c>
    </row>
    <row r="591" spans="1:7" ht="31.5" x14ac:dyDescent="0.25">
      <c r="A591" s="14">
        <v>590</v>
      </c>
      <c r="B591" s="15" t="s">
        <v>2099</v>
      </c>
      <c r="C591" s="16" t="s">
        <v>2100</v>
      </c>
      <c r="D591" s="17" t="s">
        <v>2101</v>
      </c>
      <c r="E591" s="17" t="s">
        <v>33</v>
      </c>
      <c r="F591" s="24" t="s">
        <v>2102</v>
      </c>
      <c r="G591" s="18" t="s">
        <v>13</v>
      </c>
    </row>
    <row r="592" spans="1:7" ht="31.5" customHeight="1" x14ac:dyDescent="0.25">
      <c r="A592" s="14">
        <v>591</v>
      </c>
      <c r="B592" s="15" t="s">
        <v>2103</v>
      </c>
      <c r="C592" s="16" t="s">
        <v>2104</v>
      </c>
      <c r="D592" s="17" t="s">
        <v>2105</v>
      </c>
      <c r="E592" s="17" t="s">
        <v>33</v>
      </c>
      <c r="F592" s="24" t="s">
        <v>2106</v>
      </c>
      <c r="G592" s="18" t="s">
        <v>20</v>
      </c>
    </row>
    <row r="593" spans="1:7" ht="31.5" x14ac:dyDescent="0.25">
      <c r="A593" s="14">
        <v>592</v>
      </c>
      <c r="B593" s="15" t="s">
        <v>2107</v>
      </c>
      <c r="C593" s="16" t="s">
        <v>2108</v>
      </c>
      <c r="D593" s="17" t="s">
        <v>2109</v>
      </c>
      <c r="E593" s="17" t="s">
        <v>33</v>
      </c>
      <c r="F593" s="20" t="s">
        <v>2110</v>
      </c>
      <c r="G593" s="18" t="s">
        <v>19</v>
      </c>
    </row>
    <row r="594" spans="1:7" ht="31.5" x14ac:dyDescent="0.25">
      <c r="A594" s="14">
        <v>593</v>
      </c>
      <c r="B594" s="15" t="s">
        <v>2111</v>
      </c>
      <c r="C594" s="16" t="s">
        <v>2112</v>
      </c>
      <c r="D594" s="17" t="s">
        <v>2113</v>
      </c>
      <c r="E594" s="17" t="s">
        <v>33</v>
      </c>
      <c r="F594" s="24" t="s">
        <v>2114</v>
      </c>
      <c r="G594" s="18" t="s">
        <v>17</v>
      </c>
    </row>
    <row r="595" spans="1:7" ht="31.5" x14ac:dyDescent="0.25">
      <c r="A595" s="14">
        <v>594</v>
      </c>
      <c r="B595" s="15" t="s">
        <v>2115</v>
      </c>
      <c r="C595" s="16" t="s">
        <v>2116</v>
      </c>
      <c r="D595" s="17" t="s">
        <v>2117</v>
      </c>
      <c r="E595" s="17" t="s">
        <v>33</v>
      </c>
      <c r="F595" s="20" t="s">
        <v>2118</v>
      </c>
      <c r="G595" s="18" t="s">
        <v>17</v>
      </c>
    </row>
    <row r="596" spans="1:7" ht="31.5" x14ac:dyDescent="0.25">
      <c r="A596" s="14">
        <v>595</v>
      </c>
      <c r="B596" s="15" t="s">
        <v>2119</v>
      </c>
      <c r="C596" s="16" t="s">
        <v>2120</v>
      </c>
      <c r="D596" s="17" t="s">
        <v>2121</v>
      </c>
      <c r="E596" s="17" t="s">
        <v>33</v>
      </c>
      <c r="F596" s="24" t="s">
        <v>2122</v>
      </c>
      <c r="G596" s="18" t="s">
        <v>17</v>
      </c>
    </row>
    <row r="597" spans="1:7" ht="31.5" x14ac:dyDescent="0.25">
      <c r="A597" s="14">
        <v>596</v>
      </c>
      <c r="B597" s="15" t="s">
        <v>2123</v>
      </c>
      <c r="C597" s="16" t="s">
        <v>2124</v>
      </c>
      <c r="D597" s="17" t="s">
        <v>2125</v>
      </c>
      <c r="E597" s="17" t="s">
        <v>33</v>
      </c>
      <c r="F597" s="24" t="s">
        <v>2126</v>
      </c>
      <c r="G597" s="18" t="s">
        <v>4</v>
      </c>
    </row>
    <row r="598" spans="1:7" ht="31.5" x14ac:dyDescent="0.25">
      <c r="A598" s="14">
        <v>597</v>
      </c>
      <c r="B598" s="15" t="s">
        <v>2127</v>
      </c>
      <c r="C598" s="16" t="s">
        <v>2128</v>
      </c>
      <c r="D598" s="17" t="s">
        <v>2129</v>
      </c>
      <c r="E598" s="17" t="s">
        <v>33</v>
      </c>
      <c r="F598" s="20" t="s">
        <v>2130</v>
      </c>
      <c r="G598" s="18" t="s">
        <v>14</v>
      </c>
    </row>
    <row r="599" spans="1:7" x14ac:dyDescent="0.25">
      <c r="A599" s="14">
        <v>598</v>
      </c>
      <c r="B599" s="15" t="s">
        <v>2131</v>
      </c>
      <c r="C599" s="16" t="s">
        <v>2132</v>
      </c>
      <c r="D599" s="17" t="s">
        <v>2133</v>
      </c>
      <c r="E599" s="17" t="s">
        <v>33</v>
      </c>
      <c r="F599" s="19" t="s">
        <v>2134</v>
      </c>
      <c r="G599" s="18" t="s">
        <v>7</v>
      </c>
    </row>
    <row r="600" spans="1:7" ht="19.5" customHeight="1" x14ac:dyDescent="0.25">
      <c r="A600" s="14">
        <v>599</v>
      </c>
      <c r="B600" s="25" t="s">
        <v>284</v>
      </c>
      <c r="C600" s="25" t="s">
        <v>2135</v>
      </c>
      <c r="D600" s="20" t="s">
        <v>2136</v>
      </c>
      <c r="E600" s="17" t="s">
        <v>33</v>
      </c>
      <c r="F600" s="22" t="s">
        <v>2137</v>
      </c>
      <c r="G600" s="18" t="s">
        <v>4</v>
      </c>
    </row>
    <row r="601" spans="1:7" ht="31.5" x14ac:dyDescent="0.25">
      <c r="A601" s="14">
        <v>600</v>
      </c>
      <c r="B601" s="15" t="s">
        <v>2138</v>
      </c>
      <c r="C601" s="16" t="s">
        <v>2139</v>
      </c>
      <c r="D601" s="17" t="s">
        <v>2140</v>
      </c>
      <c r="E601" s="17" t="s">
        <v>33</v>
      </c>
      <c r="F601" s="20" t="s">
        <v>2141</v>
      </c>
      <c r="G601" s="18" t="s">
        <v>17</v>
      </c>
    </row>
    <row r="602" spans="1:7" ht="31.5" x14ac:dyDescent="0.25">
      <c r="A602" s="14">
        <v>601</v>
      </c>
      <c r="B602" s="15" t="s">
        <v>2142</v>
      </c>
      <c r="C602" s="16" t="s">
        <v>2143</v>
      </c>
      <c r="D602" s="17" t="s">
        <v>2144</v>
      </c>
      <c r="E602" s="17" t="s">
        <v>33</v>
      </c>
      <c r="F602" s="20" t="s">
        <v>2145</v>
      </c>
      <c r="G602" s="18" t="s">
        <v>17</v>
      </c>
    </row>
    <row r="603" spans="1:7" x14ac:dyDescent="0.25">
      <c r="A603" s="14">
        <v>602</v>
      </c>
      <c r="B603" s="15" t="s">
        <v>2146</v>
      </c>
      <c r="C603" s="16" t="s">
        <v>2147</v>
      </c>
      <c r="D603" s="17" t="s">
        <v>2148</v>
      </c>
      <c r="E603" s="17" t="s">
        <v>33</v>
      </c>
      <c r="F603" s="22" t="s">
        <v>2149</v>
      </c>
      <c r="G603" s="18" t="s">
        <v>16</v>
      </c>
    </row>
    <row r="604" spans="1:7" x14ac:dyDescent="0.25">
      <c r="A604" s="14">
        <v>603</v>
      </c>
      <c r="B604" s="15" t="s">
        <v>2150</v>
      </c>
      <c r="C604" s="16" t="s">
        <v>2100</v>
      </c>
      <c r="D604" s="17" t="s">
        <v>2151</v>
      </c>
      <c r="E604" s="17" t="s">
        <v>33</v>
      </c>
      <c r="F604" s="19" t="s">
        <v>2152</v>
      </c>
      <c r="G604" s="18" t="s">
        <v>13</v>
      </c>
    </row>
    <row r="605" spans="1:7" x14ac:dyDescent="0.25">
      <c r="A605" s="14">
        <v>604</v>
      </c>
      <c r="B605" s="15" t="s">
        <v>2153</v>
      </c>
      <c r="C605" s="16" t="s">
        <v>2154</v>
      </c>
      <c r="D605" s="17" t="s">
        <v>2155</v>
      </c>
      <c r="E605" s="17" t="s">
        <v>33</v>
      </c>
      <c r="F605" s="22" t="s">
        <v>2156</v>
      </c>
      <c r="G605" s="18" t="s">
        <v>10</v>
      </c>
    </row>
    <row r="606" spans="1:7" x14ac:dyDescent="0.25">
      <c r="A606" s="14">
        <v>605</v>
      </c>
      <c r="B606" s="15" t="s">
        <v>2157</v>
      </c>
      <c r="C606" s="16" t="s">
        <v>2158</v>
      </c>
      <c r="D606" s="17" t="s">
        <v>2159</v>
      </c>
      <c r="E606" s="17" t="s">
        <v>33</v>
      </c>
      <c r="F606" s="22" t="s">
        <v>2160</v>
      </c>
      <c r="G606" s="18" t="s">
        <v>20</v>
      </c>
    </row>
    <row r="607" spans="1:7" x14ac:dyDescent="0.25">
      <c r="A607" s="14">
        <v>606</v>
      </c>
      <c r="B607" s="15" t="s">
        <v>2161</v>
      </c>
      <c r="C607" s="16" t="s">
        <v>2060</v>
      </c>
      <c r="D607" s="17" t="s">
        <v>2162</v>
      </c>
      <c r="E607" s="17" t="s">
        <v>33</v>
      </c>
      <c r="F607" s="19" t="s">
        <v>2062</v>
      </c>
      <c r="G607" s="18" t="s">
        <v>17</v>
      </c>
    </row>
    <row r="608" spans="1:7" ht="31.5" customHeight="1" x14ac:dyDescent="0.25">
      <c r="A608" s="14">
        <v>607</v>
      </c>
      <c r="B608" s="17" t="s">
        <v>1542</v>
      </c>
      <c r="C608" s="23" t="s">
        <v>1543</v>
      </c>
      <c r="D608" s="33" t="s">
        <v>2163</v>
      </c>
      <c r="E608" s="17" t="s">
        <v>33</v>
      </c>
      <c r="F608" s="20" t="s">
        <v>1255</v>
      </c>
      <c r="G608" s="18" t="s">
        <v>17</v>
      </c>
    </row>
    <row r="609" spans="1:7" ht="31.5" x14ac:dyDescent="0.25">
      <c r="A609" s="14">
        <v>608</v>
      </c>
      <c r="B609" s="25" t="s">
        <v>2164</v>
      </c>
      <c r="C609" s="25" t="s">
        <v>2165</v>
      </c>
      <c r="D609" s="25" t="s">
        <v>2166</v>
      </c>
      <c r="E609" s="17" t="s">
        <v>33</v>
      </c>
      <c r="F609" s="20" t="s">
        <v>2167</v>
      </c>
      <c r="G609" s="18" t="s">
        <v>9</v>
      </c>
    </row>
    <row r="610" spans="1:7" ht="31.5" x14ac:dyDescent="0.25">
      <c r="A610" s="14">
        <v>609</v>
      </c>
      <c r="B610" s="25" t="s">
        <v>2168</v>
      </c>
      <c r="C610" s="25" t="s">
        <v>2169</v>
      </c>
      <c r="D610" s="25" t="s">
        <v>2170</v>
      </c>
      <c r="E610" s="17" t="s">
        <v>33</v>
      </c>
      <c r="F610" s="24" t="s">
        <v>2171</v>
      </c>
      <c r="G610" s="18" t="s">
        <v>8</v>
      </c>
    </row>
    <row r="611" spans="1:7" ht="31.5" x14ac:dyDescent="0.25">
      <c r="A611" s="14">
        <v>610</v>
      </c>
      <c r="B611" s="25" t="s">
        <v>2172</v>
      </c>
      <c r="C611" s="25" t="s">
        <v>2173</v>
      </c>
      <c r="D611" s="25" t="s">
        <v>2174</v>
      </c>
      <c r="E611" s="17" t="s">
        <v>33</v>
      </c>
      <c r="F611" s="24" t="s">
        <v>2175</v>
      </c>
      <c r="G611" s="18" t="s">
        <v>21</v>
      </c>
    </row>
    <row r="612" spans="1:7" ht="31.5" customHeight="1" x14ac:dyDescent="0.25">
      <c r="A612" s="14">
        <v>611</v>
      </c>
      <c r="B612" s="25" t="s">
        <v>2176</v>
      </c>
      <c r="C612" s="25" t="s">
        <v>2177</v>
      </c>
      <c r="D612" s="25" t="s">
        <v>2178</v>
      </c>
      <c r="E612" s="17" t="s">
        <v>33</v>
      </c>
      <c r="F612" s="20" t="s">
        <v>2179</v>
      </c>
      <c r="G612" s="18" t="s">
        <v>17</v>
      </c>
    </row>
    <row r="613" spans="1:7" ht="31.5" customHeight="1" x14ac:dyDescent="0.25">
      <c r="A613" s="14">
        <v>612</v>
      </c>
      <c r="B613" s="25" t="s">
        <v>2180</v>
      </c>
      <c r="C613" s="25" t="s">
        <v>2181</v>
      </c>
      <c r="D613" s="25" t="s">
        <v>2182</v>
      </c>
      <c r="E613" s="17" t="s">
        <v>33</v>
      </c>
      <c r="F613" s="24" t="s">
        <v>2183</v>
      </c>
      <c r="G613" s="18" t="s">
        <v>17</v>
      </c>
    </row>
    <row r="614" spans="1:7" ht="31.5" x14ac:dyDescent="0.25">
      <c r="A614" s="14">
        <v>613</v>
      </c>
      <c r="B614" s="25" t="s">
        <v>2184</v>
      </c>
      <c r="C614" s="25" t="s">
        <v>396</v>
      </c>
      <c r="D614" s="25" t="s">
        <v>2185</v>
      </c>
      <c r="E614" s="17" t="s">
        <v>33</v>
      </c>
      <c r="F614" s="20" t="s">
        <v>2186</v>
      </c>
      <c r="G614" s="18" t="s">
        <v>5</v>
      </c>
    </row>
    <row r="615" spans="1:7" ht="31.5" x14ac:dyDescent="0.25">
      <c r="A615" s="14">
        <v>614</v>
      </c>
      <c r="B615" s="25" t="s">
        <v>2187</v>
      </c>
      <c r="C615" s="25" t="s">
        <v>2188</v>
      </c>
      <c r="D615" s="25" t="s">
        <v>2189</v>
      </c>
      <c r="E615" s="17" t="s">
        <v>33</v>
      </c>
      <c r="F615" s="20" t="s">
        <v>2190</v>
      </c>
      <c r="G615" s="18" t="s">
        <v>17</v>
      </c>
    </row>
    <row r="616" spans="1:7" ht="31.5" x14ac:dyDescent="0.25">
      <c r="A616" s="14">
        <v>615</v>
      </c>
      <c r="B616" s="25" t="s">
        <v>2191</v>
      </c>
      <c r="C616" s="25" t="s">
        <v>2192</v>
      </c>
      <c r="D616" s="25" t="s">
        <v>2193</v>
      </c>
      <c r="E616" s="17" t="s">
        <v>33</v>
      </c>
      <c r="F616" s="20" t="s">
        <v>2194</v>
      </c>
      <c r="G616" s="18" t="s">
        <v>17</v>
      </c>
    </row>
    <row r="617" spans="1:7" ht="31.5" x14ac:dyDescent="0.25">
      <c r="A617" s="14">
        <v>616</v>
      </c>
      <c r="B617" s="25" t="s">
        <v>2195</v>
      </c>
      <c r="C617" s="25" t="s">
        <v>2196</v>
      </c>
      <c r="D617" s="25" t="s">
        <v>2197</v>
      </c>
      <c r="E617" s="17" t="s">
        <v>33</v>
      </c>
      <c r="F617" s="20" t="s">
        <v>2198</v>
      </c>
      <c r="G617" s="18" t="s">
        <v>17</v>
      </c>
    </row>
    <row r="618" spans="1:7" ht="31.5" x14ac:dyDescent="0.25">
      <c r="A618" s="14">
        <v>617</v>
      </c>
      <c r="B618" s="25" t="s">
        <v>2199</v>
      </c>
      <c r="C618" s="25" t="s">
        <v>2200</v>
      </c>
      <c r="D618" s="25" t="s">
        <v>2201</v>
      </c>
      <c r="E618" s="17" t="s">
        <v>33</v>
      </c>
      <c r="F618" s="20" t="s">
        <v>2202</v>
      </c>
      <c r="G618" s="18" t="s">
        <v>17</v>
      </c>
    </row>
    <row r="619" spans="1:7" ht="31.5" customHeight="1" x14ac:dyDescent="0.25">
      <c r="A619" s="14">
        <v>618</v>
      </c>
      <c r="B619" s="25" t="s">
        <v>2203</v>
      </c>
      <c r="C619" s="25" t="s">
        <v>2204</v>
      </c>
      <c r="D619" s="25" t="s">
        <v>2205</v>
      </c>
      <c r="E619" s="17" t="s">
        <v>33</v>
      </c>
      <c r="F619" s="22" t="s">
        <v>2206</v>
      </c>
      <c r="G619" s="18" t="s">
        <v>20</v>
      </c>
    </row>
    <row r="620" spans="1:7" ht="31.5" customHeight="1" x14ac:dyDescent="0.25">
      <c r="A620" s="14">
        <v>619</v>
      </c>
      <c r="B620" s="25" t="s">
        <v>2207</v>
      </c>
      <c r="C620" s="25" t="s">
        <v>2208</v>
      </c>
      <c r="D620" s="25" t="s">
        <v>2209</v>
      </c>
      <c r="E620" s="17" t="s">
        <v>33</v>
      </c>
      <c r="F620" s="22" t="s">
        <v>2210</v>
      </c>
      <c r="G620" s="18" t="s">
        <v>3</v>
      </c>
    </row>
    <row r="621" spans="1:7" ht="31.5" x14ac:dyDescent="0.25">
      <c r="A621" s="14">
        <v>620</v>
      </c>
      <c r="B621" s="25" t="s">
        <v>2211</v>
      </c>
      <c r="C621" s="25" t="s">
        <v>2212</v>
      </c>
      <c r="D621" s="25" t="s">
        <v>2213</v>
      </c>
      <c r="E621" s="17" t="s">
        <v>33</v>
      </c>
      <c r="F621" s="24" t="s">
        <v>2214</v>
      </c>
      <c r="G621" s="18" t="s">
        <v>16</v>
      </c>
    </row>
    <row r="622" spans="1:7" ht="31.5" customHeight="1" x14ac:dyDescent="0.25">
      <c r="A622" s="14">
        <v>621</v>
      </c>
      <c r="B622" s="25" t="s">
        <v>2215</v>
      </c>
      <c r="C622" s="25" t="s">
        <v>2216</v>
      </c>
      <c r="D622" s="25" t="s">
        <v>2217</v>
      </c>
      <c r="E622" s="17" t="s">
        <v>33</v>
      </c>
      <c r="F622" s="24" t="s">
        <v>2218</v>
      </c>
      <c r="G622" s="18" t="s">
        <v>4</v>
      </c>
    </row>
    <row r="623" spans="1:7" ht="31.5" customHeight="1" x14ac:dyDescent="0.25">
      <c r="A623" s="14">
        <v>622</v>
      </c>
      <c r="B623" s="25" t="s">
        <v>2219</v>
      </c>
      <c r="C623" s="25" t="s">
        <v>2220</v>
      </c>
      <c r="D623" s="25" t="s">
        <v>2221</v>
      </c>
      <c r="E623" s="17" t="s">
        <v>33</v>
      </c>
      <c r="F623" s="20" t="s">
        <v>2222</v>
      </c>
      <c r="G623" s="18" t="s">
        <v>17</v>
      </c>
    </row>
    <row r="624" spans="1:7" ht="31.5" customHeight="1" x14ac:dyDescent="0.25">
      <c r="A624" s="14">
        <v>623</v>
      </c>
      <c r="B624" s="25" t="s">
        <v>2223</v>
      </c>
      <c r="C624" s="25" t="s">
        <v>2224</v>
      </c>
      <c r="D624" s="25" t="s">
        <v>2225</v>
      </c>
      <c r="E624" s="17" t="s">
        <v>33</v>
      </c>
      <c r="F624" s="20" t="s">
        <v>2226</v>
      </c>
      <c r="G624" s="18" t="s">
        <v>17</v>
      </c>
    </row>
    <row r="625" spans="1:8" ht="15.6" customHeight="1" x14ac:dyDescent="0.25">
      <c r="A625" s="14">
        <v>624</v>
      </c>
      <c r="B625" s="25" t="s">
        <v>2227</v>
      </c>
      <c r="C625" s="25" t="s">
        <v>2228</v>
      </c>
      <c r="D625" s="25" t="s">
        <v>2229</v>
      </c>
      <c r="E625" s="17" t="s">
        <v>33</v>
      </c>
      <c r="F625" s="24" t="s">
        <v>2230</v>
      </c>
      <c r="G625" s="18" t="s">
        <v>17</v>
      </c>
    </row>
    <row r="626" spans="1:8" ht="31.5" customHeight="1" x14ac:dyDescent="0.25">
      <c r="A626" s="14">
        <v>625</v>
      </c>
      <c r="B626" s="25" t="s">
        <v>2231</v>
      </c>
      <c r="C626" s="25" t="s">
        <v>2232</v>
      </c>
      <c r="D626" s="25" t="s">
        <v>2233</v>
      </c>
      <c r="E626" s="17" t="s">
        <v>33</v>
      </c>
      <c r="F626" s="20" t="s">
        <v>2234</v>
      </c>
      <c r="G626" s="18" t="s">
        <v>17</v>
      </c>
    </row>
    <row r="627" spans="1:8" ht="31.5" x14ac:dyDescent="0.25">
      <c r="A627" s="14">
        <v>626</v>
      </c>
      <c r="B627" s="25" t="s">
        <v>2235</v>
      </c>
      <c r="C627" s="25" t="s">
        <v>2236</v>
      </c>
      <c r="D627" s="25" t="s">
        <v>2237</v>
      </c>
      <c r="E627" s="17" t="s">
        <v>33</v>
      </c>
      <c r="F627" s="20" t="s">
        <v>2238</v>
      </c>
      <c r="G627" s="18" t="s">
        <v>17</v>
      </c>
    </row>
    <row r="628" spans="1:8" ht="31.5" customHeight="1" x14ac:dyDescent="0.25">
      <c r="A628" s="14">
        <v>627</v>
      </c>
      <c r="B628" s="25" t="s">
        <v>2239</v>
      </c>
      <c r="C628" s="25" t="s">
        <v>2240</v>
      </c>
      <c r="D628" s="25" t="s">
        <v>2241</v>
      </c>
      <c r="E628" s="17" t="s">
        <v>33</v>
      </c>
      <c r="F628" s="20" t="s">
        <v>2242</v>
      </c>
      <c r="G628" s="18" t="s">
        <v>17</v>
      </c>
    </row>
    <row r="629" spans="1:8" ht="31.5" x14ac:dyDescent="0.25">
      <c r="A629" s="14">
        <v>628</v>
      </c>
      <c r="B629" s="25" t="s">
        <v>2243</v>
      </c>
      <c r="C629" s="25" t="s">
        <v>2244</v>
      </c>
      <c r="D629" s="25" t="s">
        <v>2245</v>
      </c>
      <c r="E629" s="17" t="s">
        <v>33</v>
      </c>
      <c r="F629" s="20" t="s">
        <v>2246</v>
      </c>
      <c r="G629" s="18" t="s">
        <v>13</v>
      </c>
    </row>
    <row r="630" spans="1:8" ht="31.5" customHeight="1" x14ac:dyDescent="0.25">
      <c r="A630" s="14">
        <v>629</v>
      </c>
      <c r="B630" s="25" t="s">
        <v>2247</v>
      </c>
      <c r="C630" s="25" t="s">
        <v>2248</v>
      </c>
      <c r="D630" s="25" t="s">
        <v>2249</v>
      </c>
      <c r="E630" s="17" t="s">
        <v>33</v>
      </c>
      <c r="F630" s="20" t="s">
        <v>2250</v>
      </c>
      <c r="G630" s="18" t="s">
        <v>17</v>
      </c>
    </row>
    <row r="631" spans="1:8" ht="31.5" customHeight="1" x14ac:dyDescent="0.25">
      <c r="A631" s="14">
        <v>630</v>
      </c>
      <c r="B631" s="25" t="s">
        <v>2251</v>
      </c>
      <c r="C631" s="25" t="s">
        <v>2252</v>
      </c>
      <c r="D631" s="25" t="s">
        <v>2253</v>
      </c>
      <c r="E631" s="17" t="s">
        <v>33</v>
      </c>
      <c r="F631" s="22" t="s">
        <v>2254</v>
      </c>
      <c r="G631" s="18" t="s">
        <v>4</v>
      </c>
    </row>
    <row r="632" spans="1:8" ht="31.5" customHeight="1" x14ac:dyDescent="0.25">
      <c r="A632" s="14">
        <v>631</v>
      </c>
      <c r="B632" s="25" t="s">
        <v>2255</v>
      </c>
      <c r="C632" s="25" t="s">
        <v>2256</v>
      </c>
      <c r="D632" s="25" t="s">
        <v>2257</v>
      </c>
      <c r="E632" s="17" t="s">
        <v>33</v>
      </c>
      <c r="F632" s="19" t="s">
        <v>2258</v>
      </c>
      <c r="G632" s="18" t="s">
        <v>17</v>
      </c>
    </row>
    <row r="633" spans="1:8" ht="31.5" customHeight="1" x14ac:dyDescent="0.25">
      <c r="A633" s="14">
        <v>632</v>
      </c>
      <c r="B633" s="25" t="s">
        <v>2259</v>
      </c>
      <c r="C633" s="25" t="s">
        <v>2260</v>
      </c>
      <c r="D633" s="25" t="s">
        <v>2261</v>
      </c>
      <c r="E633" s="17" t="s">
        <v>33</v>
      </c>
      <c r="F633" s="19" t="s">
        <v>2262</v>
      </c>
      <c r="G633" s="18" t="s">
        <v>17</v>
      </c>
    </row>
    <row r="634" spans="1:8" ht="25.5" customHeight="1" x14ac:dyDescent="0.25">
      <c r="A634" s="14">
        <v>633</v>
      </c>
      <c r="B634" s="20" t="s">
        <v>2263</v>
      </c>
      <c r="C634" s="25" t="s">
        <v>2264</v>
      </c>
      <c r="D634" s="20" t="s">
        <v>2265</v>
      </c>
      <c r="E634" s="17" t="s">
        <v>33</v>
      </c>
      <c r="F634" s="24" t="s">
        <v>2266</v>
      </c>
      <c r="G634" s="18" t="s">
        <v>13</v>
      </c>
    </row>
    <row r="635" spans="1:8" ht="31.5" customHeight="1" x14ac:dyDescent="0.25">
      <c r="A635" s="14">
        <v>634</v>
      </c>
      <c r="B635" s="34" t="s">
        <v>2267</v>
      </c>
      <c r="C635" s="35" t="s">
        <v>2268</v>
      </c>
      <c r="D635" s="34" t="s">
        <v>2269</v>
      </c>
      <c r="E635" s="17" t="s">
        <v>33</v>
      </c>
      <c r="F635" s="20" t="s">
        <v>2270</v>
      </c>
      <c r="G635" s="18" t="s">
        <v>9</v>
      </c>
    </row>
    <row r="636" spans="1:8" ht="31.5" customHeight="1" x14ac:dyDescent="0.25">
      <c r="A636" s="14">
        <v>635</v>
      </c>
      <c r="B636" s="20" t="s">
        <v>2271</v>
      </c>
      <c r="C636" s="35" t="s">
        <v>2272</v>
      </c>
      <c r="D636" s="34" t="s">
        <v>2273</v>
      </c>
      <c r="E636" s="17" t="s">
        <v>33</v>
      </c>
      <c r="F636" s="24" t="s">
        <v>2274</v>
      </c>
      <c r="G636" s="18" t="s">
        <v>5</v>
      </c>
    </row>
    <row r="637" spans="1:8" ht="31.5" customHeight="1" x14ac:dyDescent="0.25">
      <c r="A637" s="14">
        <v>636</v>
      </c>
      <c r="B637" s="20" t="s">
        <v>2275</v>
      </c>
      <c r="C637" s="36" t="s">
        <v>2276</v>
      </c>
      <c r="D637" s="25" t="s">
        <v>2277</v>
      </c>
      <c r="E637" s="17" t="s">
        <v>33</v>
      </c>
      <c r="F637" s="5"/>
      <c r="G637" s="18" t="s">
        <v>17</v>
      </c>
      <c r="H637" s="24" t="s">
        <v>2700</v>
      </c>
    </row>
    <row r="638" spans="1:8" ht="31.5" customHeight="1" x14ac:dyDescent="0.25">
      <c r="A638" s="14">
        <v>637</v>
      </c>
      <c r="B638" s="20" t="s">
        <v>2278</v>
      </c>
      <c r="C638" s="35" t="s">
        <v>2279</v>
      </c>
      <c r="D638" s="35" t="s">
        <v>2280</v>
      </c>
      <c r="E638" s="17" t="s">
        <v>33</v>
      </c>
      <c r="F638" s="20"/>
      <c r="G638" s="18" t="s">
        <v>17</v>
      </c>
    </row>
    <row r="639" spans="1:8" ht="31.5" customHeight="1" x14ac:dyDescent="0.25">
      <c r="A639" s="14">
        <v>638</v>
      </c>
      <c r="B639" s="20" t="s">
        <v>2281</v>
      </c>
      <c r="C639" s="25" t="s">
        <v>2282</v>
      </c>
      <c r="D639" s="35" t="s">
        <v>2283</v>
      </c>
      <c r="E639" s="17" t="s">
        <v>33</v>
      </c>
      <c r="F639" s="20"/>
      <c r="G639" s="18" t="s">
        <v>17</v>
      </c>
    </row>
    <row r="640" spans="1:8" ht="27" customHeight="1" x14ac:dyDescent="0.25">
      <c r="A640" s="14">
        <v>639</v>
      </c>
      <c r="B640" s="20" t="s">
        <v>2284</v>
      </c>
      <c r="C640" s="25" t="s">
        <v>1423</v>
      </c>
      <c r="D640" s="25" t="s">
        <v>2285</v>
      </c>
      <c r="E640" s="17" t="s">
        <v>33</v>
      </c>
      <c r="F640" s="20"/>
      <c r="G640" s="18" t="s">
        <v>17</v>
      </c>
    </row>
    <row r="641" spans="1:7" ht="31.5" customHeight="1" x14ac:dyDescent="0.25">
      <c r="A641" s="14">
        <v>640</v>
      </c>
      <c r="B641" s="20" t="s">
        <v>2286</v>
      </c>
      <c r="C641" s="25" t="s">
        <v>2287</v>
      </c>
      <c r="D641" s="25" t="s">
        <v>2288</v>
      </c>
      <c r="E641" s="17" t="s">
        <v>33</v>
      </c>
      <c r="F641" s="20"/>
      <c r="G641" s="18" t="s">
        <v>17</v>
      </c>
    </row>
    <row r="642" spans="1:7" ht="32.450000000000003" customHeight="1" x14ac:dyDescent="0.25">
      <c r="A642" s="14">
        <v>641</v>
      </c>
      <c r="B642" s="34" t="s">
        <v>2289</v>
      </c>
      <c r="C642" s="37" t="s">
        <v>2290</v>
      </c>
      <c r="D642" s="35" t="s">
        <v>2291</v>
      </c>
      <c r="E642" s="17" t="s">
        <v>33</v>
      </c>
      <c r="F642" s="20"/>
      <c r="G642" s="18" t="s">
        <v>17</v>
      </c>
    </row>
    <row r="643" spans="1:7" ht="29.1" customHeight="1" x14ac:dyDescent="0.25">
      <c r="A643" s="14">
        <v>642</v>
      </c>
      <c r="B643" s="15" t="s">
        <v>2292</v>
      </c>
      <c r="C643" s="16" t="s">
        <v>2293</v>
      </c>
      <c r="D643" s="17" t="s">
        <v>2294</v>
      </c>
      <c r="E643" s="17" t="s">
        <v>33</v>
      </c>
      <c r="F643" s="20"/>
      <c r="G643" s="18" t="s">
        <v>17</v>
      </c>
    </row>
    <row r="644" spans="1:7" ht="29.1" customHeight="1" x14ac:dyDescent="0.25">
      <c r="A644" s="14">
        <v>643</v>
      </c>
      <c r="B644" s="15" t="s">
        <v>2295</v>
      </c>
      <c r="C644" s="16" t="s">
        <v>2296</v>
      </c>
      <c r="D644" s="17" t="s">
        <v>2297</v>
      </c>
      <c r="E644" s="17" t="s">
        <v>33</v>
      </c>
      <c r="F644" s="22" t="s">
        <v>2298</v>
      </c>
      <c r="G644" s="18" t="s">
        <v>8</v>
      </c>
    </row>
    <row r="645" spans="1:7" ht="31.5" customHeight="1" x14ac:dyDescent="0.25">
      <c r="A645" s="14">
        <v>644</v>
      </c>
      <c r="B645" s="25" t="s">
        <v>2299</v>
      </c>
      <c r="C645" s="20" t="s">
        <v>2300</v>
      </c>
      <c r="D645" s="17" t="s">
        <v>2301</v>
      </c>
      <c r="E645" s="17" t="s">
        <v>33</v>
      </c>
      <c r="F645" s="22" t="s">
        <v>2302</v>
      </c>
      <c r="G645" s="18" t="s">
        <v>10</v>
      </c>
    </row>
    <row r="646" spans="1:7" ht="31.5" customHeight="1" x14ac:dyDescent="0.25">
      <c r="A646" s="14">
        <v>645</v>
      </c>
      <c r="B646" s="25" t="s">
        <v>2303</v>
      </c>
      <c r="C646" s="20" t="s">
        <v>2304</v>
      </c>
      <c r="D646" s="17" t="s">
        <v>2305</v>
      </c>
      <c r="E646" s="17" t="s">
        <v>33</v>
      </c>
      <c r="F646" s="19" t="s">
        <v>2306</v>
      </c>
      <c r="G646" s="18" t="s">
        <v>17</v>
      </c>
    </row>
    <row r="647" spans="1:7" ht="31.5" customHeight="1" x14ac:dyDescent="0.25">
      <c r="A647" s="14">
        <v>646</v>
      </c>
      <c r="B647" s="25" t="s">
        <v>2307</v>
      </c>
      <c r="C647" s="20" t="s">
        <v>2308</v>
      </c>
      <c r="D647" s="17" t="s">
        <v>2309</v>
      </c>
      <c r="E647" s="17" t="s">
        <v>33</v>
      </c>
      <c r="F647" s="20" t="s">
        <v>2310</v>
      </c>
      <c r="G647" s="18" t="s">
        <v>17</v>
      </c>
    </row>
    <row r="648" spans="1:7" ht="31.5" customHeight="1" x14ac:dyDescent="0.25">
      <c r="A648" s="14">
        <v>647</v>
      </c>
      <c r="B648" s="15" t="s">
        <v>2311</v>
      </c>
      <c r="C648" s="16" t="s">
        <v>2312</v>
      </c>
      <c r="D648" s="17" t="s">
        <v>2313</v>
      </c>
      <c r="E648" s="17" t="s">
        <v>33</v>
      </c>
      <c r="F648" s="20" t="s">
        <v>2314</v>
      </c>
      <c r="G648" s="18" t="s">
        <v>16</v>
      </c>
    </row>
    <row r="649" spans="1:7" ht="31.5" customHeight="1" x14ac:dyDescent="0.25">
      <c r="A649" s="14">
        <v>648</v>
      </c>
      <c r="B649" s="15" t="s">
        <v>2315</v>
      </c>
      <c r="C649" s="16" t="s">
        <v>2316</v>
      </c>
      <c r="D649" s="17" t="s">
        <v>2317</v>
      </c>
      <c r="E649" s="17" t="s">
        <v>33</v>
      </c>
      <c r="F649" s="24" t="s">
        <v>2318</v>
      </c>
      <c r="G649" s="18" t="s">
        <v>21</v>
      </c>
    </row>
    <row r="650" spans="1:7" ht="31.5" customHeight="1" x14ac:dyDescent="0.25">
      <c r="A650" s="14">
        <v>649</v>
      </c>
      <c r="B650" s="15" t="s">
        <v>2319</v>
      </c>
      <c r="C650" s="16" t="s">
        <v>2320</v>
      </c>
      <c r="D650" s="17" t="s">
        <v>2321</v>
      </c>
      <c r="E650" s="17" t="s">
        <v>33</v>
      </c>
      <c r="F650" s="20" t="s">
        <v>2322</v>
      </c>
      <c r="G650" s="18" t="s">
        <v>19</v>
      </c>
    </row>
    <row r="651" spans="1:7" ht="31.5" customHeight="1" x14ac:dyDescent="0.25">
      <c r="A651" s="14">
        <v>650</v>
      </c>
      <c r="B651" s="15" t="s">
        <v>2323</v>
      </c>
      <c r="C651" s="16" t="s">
        <v>2324</v>
      </c>
      <c r="D651" s="17" t="s">
        <v>2325</v>
      </c>
      <c r="E651" s="17" t="s">
        <v>33</v>
      </c>
      <c r="F651" s="24" t="s">
        <v>2326</v>
      </c>
      <c r="G651" s="18" t="s">
        <v>16</v>
      </c>
    </row>
    <row r="652" spans="1:7" ht="31.5" customHeight="1" x14ac:dyDescent="0.25">
      <c r="A652" s="14">
        <v>651</v>
      </c>
      <c r="B652" s="15" t="s">
        <v>2327</v>
      </c>
      <c r="C652" s="16" t="s">
        <v>1888</v>
      </c>
      <c r="D652" s="17" t="s">
        <v>2328</v>
      </c>
      <c r="E652" s="17" t="s">
        <v>33</v>
      </c>
      <c r="F652" s="24" t="s">
        <v>2329</v>
      </c>
      <c r="G652" s="18" t="s">
        <v>21</v>
      </c>
    </row>
    <row r="653" spans="1:7" ht="25.5" customHeight="1" x14ac:dyDescent="0.25">
      <c r="A653" s="14">
        <v>652</v>
      </c>
      <c r="B653" s="15" t="s">
        <v>2330</v>
      </c>
      <c r="C653" s="16" t="s">
        <v>2331</v>
      </c>
      <c r="D653" s="17" t="s">
        <v>2332</v>
      </c>
      <c r="E653" s="17" t="s">
        <v>33</v>
      </c>
      <c r="F653" s="24" t="s">
        <v>2333</v>
      </c>
      <c r="G653" s="18" t="s">
        <v>21</v>
      </c>
    </row>
    <row r="654" spans="1:7" ht="31.5" customHeight="1" x14ac:dyDescent="0.25">
      <c r="A654" s="14">
        <v>653</v>
      </c>
      <c r="B654" s="15" t="s">
        <v>2334</v>
      </c>
      <c r="C654" s="16" t="s">
        <v>2335</v>
      </c>
      <c r="D654" s="17" t="s">
        <v>2336</v>
      </c>
      <c r="E654" s="17" t="s">
        <v>33</v>
      </c>
      <c r="F654" s="20" t="s">
        <v>2337</v>
      </c>
      <c r="G654" s="18" t="s">
        <v>17</v>
      </c>
    </row>
    <row r="655" spans="1:7" ht="31.5" customHeight="1" x14ac:dyDescent="0.25">
      <c r="A655" s="14">
        <v>654</v>
      </c>
      <c r="B655" s="15" t="s">
        <v>2338</v>
      </c>
      <c r="C655" s="16" t="s">
        <v>2339</v>
      </c>
      <c r="D655" s="17" t="s">
        <v>2340</v>
      </c>
      <c r="E655" s="17" t="s">
        <v>33</v>
      </c>
      <c r="F655" s="20" t="s">
        <v>2341</v>
      </c>
      <c r="G655" s="18" t="s">
        <v>17</v>
      </c>
    </row>
    <row r="656" spans="1:7" ht="31.5" customHeight="1" x14ac:dyDescent="0.25">
      <c r="A656" s="14">
        <v>655</v>
      </c>
      <c r="B656" s="15" t="s">
        <v>2342</v>
      </c>
      <c r="C656" s="16" t="s">
        <v>2343</v>
      </c>
      <c r="D656" s="17" t="s">
        <v>2344</v>
      </c>
      <c r="E656" s="17" t="s">
        <v>33</v>
      </c>
      <c r="F656" s="24" t="s">
        <v>2345</v>
      </c>
      <c r="G656" s="18" t="s">
        <v>17</v>
      </c>
    </row>
    <row r="657" spans="1:7" ht="31.5" customHeight="1" x14ac:dyDescent="0.25">
      <c r="A657" s="14">
        <v>656</v>
      </c>
      <c r="B657" s="16" t="s">
        <v>2346</v>
      </c>
      <c r="C657" s="16" t="s">
        <v>2347</v>
      </c>
      <c r="D657" s="38" t="s">
        <v>2348</v>
      </c>
      <c r="E657" s="38" t="s">
        <v>33</v>
      </c>
      <c r="F657" s="22" t="s">
        <v>2349</v>
      </c>
      <c r="G657" s="18" t="s">
        <v>8</v>
      </c>
    </row>
    <row r="658" spans="1:7" ht="31.5" customHeight="1" x14ac:dyDescent="0.25">
      <c r="A658" s="14">
        <v>657</v>
      </c>
      <c r="B658" s="16" t="s">
        <v>2350</v>
      </c>
      <c r="C658" s="16" t="s">
        <v>2351</v>
      </c>
      <c r="D658" s="38" t="s">
        <v>2352</v>
      </c>
      <c r="E658" s="38" t="s">
        <v>33</v>
      </c>
      <c r="F658" s="19" t="s">
        <v>2353</v>
      </c>
      <c r="G658" s="18" t="s">
        <v>17</v>
      </c>
    </row>
    <row r="659" spans="1:7" ht="31.5" customHeight="1" x14ac:dyDescent="0.25">
      <c r="A659" s="14">
        <v>658</v>
      </c>
      <c r="B659" s="16" t="s">
        <v>2354</v>
      </c>
      <c r="C659" s="16" t="s">
        <v>2355</v>
      </c>
      <c r="D659" s="38" t="s">
        <v>2356</v>
      </c>
      <c r="E659" s="38" t="s">
        <v>33</v>
      </c>
      <c r="F659" s="19" t="s">
        <v>2357</v>
      </c>
      <c r="G659" s="18" t="s">
        <v>14</v>
      </c>
    </row>
    <row r="660" spans="1:7" x14ac:dyDescent="0.25">
      <c r="A660" s="14">
        <v>659</v>
      </c>
      <c r="B660" s="18" t="s">
        <v>2358</v>
      </c>
      <c r="C660" s="18" t="s">
        <v>1521</v>
      </c>
      <c r="D660" s="39" t="s">
        <v>2359</v>
      </c>
      <c r="E660" s="38" t="s">
        <v>33</v>
      </c>
      <c r="F660" s="15" t="s">
        <v>2360</v>
      </c>
      <c r="G660" s="18" t="s">
        <v>2361</v>
      </c>
    </row>
    <row r="661" spans="1:7" ht="30" customHeight="1" x14ac:dyDescent="0.25">
      <c r="A661" s="14">
        <v>660</v>
      </c>
      <c r="B661" s="18" t="s">
        <v>2362</v>
      </c>
      <c r="C661" s="18" t="s">
        <v>2363</v>
      </c>
      <c r="D661" s="39" t="s">
        <v>2364</v>
      </c>
      <c r="E661" s="38" t="s">
        <v>33</v>
      </c>
      <c r="F661" s="21" t="s">
        <v>2365</v>
      </c>
      <c r="G661" s="18" t="s">
        <v>17</v>
      </c>
    </row>
    <row r="662" spans="1:7" ht="30" customHeight="1" x14ac:dyDescent="0.25">
      <c r="A662" s="14">
        <v>661</v>
      </c>
      <c r="B662" s="18" t="s">
        <v>2366</v>
      </c>
      <c r="C662" s="18" t="s">
        <v>2367</v>
      </c>
      <c r="D662" s="39" t="s">
        <v>2368</v>
      </c>
      <c r="E662" s="38" t="s">
        <v>33</v>
      </c>
      <c r="F662" s="15" t="s">
        <v>2369</v>
      </c>
      <c r="G662" s="18" t="s">
        <v>17</v>
      </c>
    </row>
    <row r="663" spans="1:7" ht="30" customHeight="1" x14ac:dyDescent="0.25">
      <c r="A663" s="14">
        <v>662</v>
      </c>
      <c r="B663" s="18" t="s">
        <v>2370</v>
      </c>
      <c r="C663" s="18" t="s">
        <v>2272</v>
      </c>
      <c r="D663" s="39" t="s">
        <v>2371</v>
      </c>
      <c r="E663" s="38" t="s">
        <v>33</v>
      </c>
      <c r="F663" s="15" t="s">
        <v>2372</v>
      </c>
      <c r="G663" s="18" t="s">
        <v>17</v>
      </c>
    </row>
    <row r="664" spans="1:7" ht="30" customHeight="1" x14ac:dyDescent="0.25">
      <c r="A664" s="14">
        <v>663</v>
      </c>
      <c r="B664" s="18" t="s">
        <v>2373</v>
      </c>
      <c r="C664" s="18" t="s">
        <v>2374</v>
      </c>
      <c r="D664" s="39" t="s">
        <v>2375</v>
      </c>
      <c r="E664" s="38" t="s">
        <v>33</v>
      </c>
      <c r="F664" s="15" t="s">
        <v>2376</v>
      </c>
      <c r="G664" s="18" t="s">
        <v>17</v>
      </c>
    </row>
    <row r="665" spans="1:7" ht="30" customHeight="1" x14ac:dyDescent="0.25">
      <c r="A665" s="14">
        <v>664</v>
      </c>
      <c r="B665" s="39" t="s">
        <v>2377</v>
      </c>
      <c r="C665" s="18" t="s">
        <v>2378</v>
      </c>
      <c r="D665" s="39" t="s">
        <v>2379</v>
      </c>
      <c r="E665" s="38" t="s">
        <v>33</v>
      </c>
      <c r="F665" s="15" t="s">
        <v>2380</v>
      </c>
      <c r="G665" s="18" t="s">
        <v>17</v>
      </c>
    </row>
    <row r="666" spans="1:7" x14ac:dyDescent="0.25">
      <c r="A666" s="14">
        <v>665</v>
      </c>
      <c r="B666" s="18" t="s">
        <v>2381</v>
      </c>
      <c r="C666" s="18" t="s">
        <v>2382</v>
      </c>
      <c r="D666" s="39" t="s">
        <v>2383</v>
      </c>
      <c r="E666" s="38" t="s">
        <v>33</v>
      </c>
      <c r="F666" s="21" t="s">
        <v>2384</v>
      </c>
      <c r="G666" s="18" t="s">
        <v>21</v>
      </c>
    </row>
    <row r="667" spans="1:7" ht="45" customHeight="1" x14ac:dyDescent="0.25">
      <c r="A667" s="14">
        <v>666</v>
      </c>
      <c r="B667" s="39" t="s">
        <v>2385</v>
      </c>
      <c r="C667" s="18" t="s">
        <v>2386</v>
      </c>
      <c r="D667" s="39" t="s">
        <v>2387</v>
      </c>
      <c r="E667" s="38" t="s">
        <v>33</v>
      </c>
      <c r="F667" s="15" t="s">
        <v>2388</v>
      </c>
      <c r="G667" s="18" t="s">
        <v>17</v>
      </c>
    </row>
    <row r="668" spans="1:7" ht="30" customHeight="1" x14ac:dyDescent="0.25">
      <c r="A668" s="14">
        <v>667</v>
      </c>
      <c r="B668" s="18" t="s">
        <v>2389</v>
      </c>
      <c r="C668" s="18" t="s">
        <v>2390</v>
      </c>
      <c r="D668" s="39" t="s">
        <v>2391</v>
      </c>
      <c r="E668" s="38" t="s">
        <v>33</v>
      </c>
      <c r="F668" s="15" t="s">
        <v>2392</v>
      </c>
      <c r="G668" s="18" t="s">
        <v>17</v>
      </c>
    </row>
    <row r="669" spans="1:7" x14ac:dyDescent="0.25">
      <c r="A669" s="14">
        <v>668</v>
      </c>
      <c r="B669" s="18" t="s">
        <v>2393</v>
      </c>
      <c r="C669" s="18" t="s">
        <v>2394</v>
      </c>
      <c r="D669" s="39" t="s">
        <v>2395</v>
      </c>
      <c r="E669" s="38" t="s">
        <v>33</v>
      </c>
      <c r="F669" s="15" t="s">
        <v>2396</v>
      </c>
      <c r="G669" s="18" t="s">
        <v>17</v>
      </c>
    </row>
    <row r="670" spans="1:7" ht="30" customHeight="1" x14ac:dyDescent="0.25">
      <c r="A670" s="14">
        <v>669</v>
      </c>
      <c r="B670" s="39" t="s">
        <v>2397</v>
      </c>
      <c r="C670" s="18" t="s">
        <v>2398</v>
      </c>
      <c r="D670" s="39" t="s">
        <v>2399</v>
      </c>
      <c r="E670" s="39" t="s">
        <v>2400</v>
      </c>
      <c r="F670" s="21" t="s">
        <v>2401</v>
      </c>
      <c r="G670" s="18" t="s">
        <v>17</v>
      </c>
    </row>
    <row r="671" spans="1:7" x14ac:dyDescent="0.25">
      <c r="A671" s="14">
        <v>670</v>
      </c>
      <c r="B671" s="18" t="s">
        <v>2402</v>
      </c>
      <c r="C671" s="18" t="s">
        <v>2403</v>
      </c>
      <c r="D671" s="39" t="s">
        <v>2404</v>
      </c>
      <c r="E671" s="39" t="s">
        <v>2405</v>
      </c>
      <c r="F671" s="15" t="s">
        <v>2406</v>
      </c>
      <c r="G671" s="18" t="s">
        <v>17</v>
      </c>
    </row>
    <row r="672" spans="1:7" ht="30" x14ac:dyDescent="0.25">
      <c r="A672" s="14">
        <v>671</v>
      </c>
      <c r="B672" s="18" t="s">
        <v>2407</v>
      </c>
      <c r="C672" s="18" t="s">
        <v>2408</v>
      </c>
      <c r="D672" s="39" t="s">
        <v>2409</v>
      </c>
      <c r="E672" s="39" t="s">
        <v>2410</v>
      </c>
      <c r="F672" s="15" t="s">
        <v>2411</v>
      </c>
      <c r="G672" s="18" t="s">
        <v>17</v>
      </c>
    </row>
    <row r="673" spans="1:7" ht="31.5" customHeight="1" x14ac:dyDescent="0.25">
      <c r="A673" s="14">
        <v>672</v>
      </c>
      <c r="B673" s="18" t="s">
        <v>2412</v>
      </c>
      <c r="C673" s="18" t="s">
        <v>2413</v>
      </c>
      <c r="D673" s="39" t="s">
        <v>2414</v>
      </c>
      <c r="E673" s="39" t="s">
        <v>2410</v>
      </c>
      <c r="F673" s="17" t="s">
        <v>2415</v>
      </c>
      <c r="G673" s="18" t="s">
        <v>8</v>
      </c>
    </row>
    <row r="674" spans="1:7" ht="30" customHeight="1" x14ac:dyDescent="0.25">
      <c r="A674" s="14">
        <v>673</v>
      </c>
      <c r="B674" s="18" t="s">
        <v>2416</v>
      </c>
      <c r="C674" s="18" t="s">
        <v>636</v>
      </c>
      <c r="D674" s="39" t="s">
        <v>2417</v>
      </c>
      <c r="E674" s="39" t="s">
        <v>2418</v>
      </c>
      <c r="F674" s="15" t="s">
        <v>2419</v>
      </c>
      <c r="G674" s="18" t="s">
        <v>17</v>
      </c>
    </row>
    <row r="675" spans="1:7" ht="30" x14ac:dyDescent="0.25">
      <c r="A675" s="14">
        <v>674</v>
      </c>
      <c r="B675" s="18" t="s">
        <v>2420</v>
      </c>
      <c r="C675" s="18" t="s">
        <v>2421</v>
      </c>
      <c r="D675" s="39" t="s">
        <v>2422</v>
      </c>
      <c r="E675" s="38" t="s">
        <v>33</v>
      </c>
      <c r="F675" s="15" t="s">
        <v>2423</v>
      </c>
      <c r="G675" s="18" t="s">
        <v>17</v>
      </c>
    </row>
    <row r="676" spans="1:7" ht="30" customHeight="1" x14ac:dyDescent="0.25">
      <c r="A676" s="14">
        <v>675</v>
      </c>
      <c r="B676" s="39" t="s">
        <v>2424</v>
      </c>
      <c r="C676" s="18" t="s">
        <v>2425</v>
      </c>
      <c r="D676" s="39" t="s">
        <v>2426</v>
      </c>
      <c r="E676" s="39" t="s">
        <v>2400</v>
      </c>
      <c r="F676" s="15" t="s">
        <v>2427</v>
      </c>
      <c r="G676" s="18" t="s">
        <v>17</v>
      </c>
    </row>
    <row r="677" spans="1:7" ht="30" customHeight="1" x14ac:dyDescent="0.25">
      <c r="A677" s="14">
        <v>676</v>
      </c>
      <c r="B677" s="18" t="s">
        <v>2428</v>
      </c>
      <c r="C677" s="18" t="s">
        <v>2429</v>
      </c>
      <c r="D677" s="39" t="s">
        <v>2430</v>
      </c>
      <c r="E677" s="38" t="s">
        <v>33</v>
      </c>
      <c r="F677" s="21" t="s">
        <v>2431</v>
      </c>
      <c r="G677" s="18" t="s">
        <v>17</v>
      </c>
    </row>
    <row r="678" spans="1:7" ht="30" customHeight="1" x14ac:dyDescent="0.25">
      <c r="A678" s="14">
        <v>677</v>
      </c>
      <c r="B678" s="18" t="s">
        <v>2432</v>
      </c>
      <c r="C678" s="18" t="s">
        <v>2433</v>
      </c>
      <c r="D678" s="39" t="s">
        <v>2434</v>
      </c>
      <c r="E678" s="38" t="s">
        <v>33</v>
      </c>
      <c r="F678" s="15" t="s">
        <v>2435</v>
      </c>
      <c r="G678" s="18" t="s">
        <v>17</v>
      </c>
    </row>
    <row r="679" spans="1:7" ht="30" customHeight="1" x14ac:dyDescent="0.25">
      <c r="A679" s="14">
        <v>678</v>
      </c>
      <c r="B679" s="18" t="s">
        <v>2436</v>
      </c>
      <c r="C679" s="18" t="s">
        <v>2437</v>
      </c>
      <c r="D679" s="39" t="s">
        <v>2438</v>
      </c>
      <c r="E679" s="38" t="s">
        <v>33</v>
      </c>
      <c r="F679" s="15" t="s">
        <v>2439</v>
      </c>
      <c r="G679" s="18" t="s">
        <v>17</v>
      </c>
    </row>
    <row r="680" spans="1:7" x14ac:dyDescent="0.25">
      <c r="A680" s="14">
        <v>679</v>
      </c>
      <c r="B680" s="18" t="s">
        <v>2440</v>
      </c>
      <c r="C680" s="18" t="s">
        <v>2441</v>
      </c>
      <c r="D680" s="39" t="s">
        <v>2442</v>
      </c>
      <c r="E680" s="39" t="s">
        <v>2410</v>
      </c>
      <c r="F680" s="21" t="s">
        <v>2443</v>
      </c>
      <c r="G680" s="18" t="s">
        <v>5</v>
      </c>
    </row>
    <row r="681" spans="1:7" ht="30" customHeight="1" x14ac:dyDescent="0.25">
      <c r="A681" s="14">
        <v>680</v>
      </c>
      <c r="B681" s="18" t="s">
        <v>2444</v>
      </c>
      <c r="C681" s="18" t="s">
        <v>2445</v>
      </c>
      <c r="D681" s="39" t="s">
        <v>2446</v>
      </c>
      <c r="E681" s="39" t="s">
        <v>2405</v>
      </c>
      <c r="F681" s="15" t="s">
        <v>2447</v>
      </c>
      <c r="G681" s="18" t="s">
        <v>17</v>
      </c>
    </row>
    <row r="682" spans="1:7" ht="30" customHeight="1" x14ac:dyDescent="0.25">
      <c r="A682" s="14">
        <v>681</v>
      </c>
      <c r="B682" s="18" t="s">
        <v>2448</v>
      </c>
      <c r="C682" s="18" t="s">
        <v>2449</v>
      </c>
      <c r="D682" s="39" t="s">
        <v>2450</v>
      </c>
      <c r="E682" s="38" t="s">
        <v>33</v>
      </c>
      <c r="F682" s="21" t="s">
        <v>2451</v>
      </c>
      <c r="G682" s="18" t="s">
        <v>17</v>
      </c>
    </row>
    <row r="683" spans="1:7" ht="30" customHeight="1" x14ac:dyDescent="0.25">
      <c r="A683" s="14">
        <v>682</v>
      </c>
      <c r="B683" s="39" t="s">
        <v>2452</v>
      </c>
      <c r="C683" s="18" t="s">
        <v>2453</v>
      </c>
      <c r="D683" s="39" t="s">
        <v>2454</v>
      </c>
      <c r="E683" s="39" t="s">
        <v>2400</v>
      </c>
      <c r="F683" s="15" t="s">
        <v>2455</v>
      </c>
      <c r="G683" s="18" t="s">
        <v>17</v>
      </c>
    </row>
    <row r="684" spans="1:7" ht="30" customHeight="1" x14ac:dyDescent="0.25">
      <c r="A684" s="14">
        <v>683</v>
      </c>
      <c r="B684" s="39" t="s">
        <v>2456</v>
      </c>
      <c r="C684" s="18" t="s">
        <v>2457</v>
      </c>
      <c r="D684" s="39" t="s">
        <v>2458</v>
      </c>
      <c r="E684" s="38" t="s">
        <v>33</v>
      </c>
      <c r="F684" s="21" t="s">
        <v>2459</v>
      </c>
      <c r="G684" s="18" t="s">
        <v>17</v>
      </c>
    </row>
    <row r="685" spans="1:7" ht="30" x14ac:dyDescent="0.25">
      <c r="A685" s="14">
        <v>684</v>
      </c>
      <c r="B685" s="40" t="s">
        <v>2460</v>
      </c>
      <c r="C685" s="18" t="s">
        <v>2461</v>
      </c>
      <c r="D685" s="41" t="s">
        <v>2462</v>
      </c>
      <c r="E685" s="38" t="s">
        <v>33</v>
      </c>
      <c r="F685" s="21" t="s">
        <v>2463</v>
      </c>
      <c r="G685" s="18" t="s">
        <v>10</v>
      </c>
    </row>
    <row r="686" spans="1:7" x14ac:dyDescent="0.25">
      <c r="A686" s="14">
        <v>685</v>
      </c>
      <c r="B686" s="40" t="s">
        <v>2464</v>
      </c>
      <c r="C686" s="18" t="s">
        <v>2465</v>
      </c>
      <c r="D686" s="41" t="s">
        <v>2466</v>
      </c>
      <c r="E686" s="38" t="s">
        <v>33</v>
      </c>
      <c r="F686" s="15" t="s">
        <v>2467</v>
      </c>
      <c r="G686" s="18" t="s">
        <v>16</v>
      </c>
    </row>
    <row r="687" spans="1:7" ht="30" x14ac:dyDescent="0.25">
      <c r="A687" s="14">
        <v>686</v>
      </c>
      <c r="B687" s="40" t="s">
        <v>2468</v>
      </c>
      <c r="C687" s="18" t="s">
        <v>2469</v>
      </c>
      <c r="D687" s="41" t="s">
        <v>2470</v>
      </c>
      <c r="E687" s="38" t="s">
        <v>33</v>
      </c>
      <c r="F687" s="15" t="s">
        <v>2471</v>
      </c>
      <c r="G687" s="18" t="s">
        <v>10</v>
      </c>
    </row>
    <row r="688" spans="1:7" ht="30" customHeight="1" x14ac:dyDescent="0.25">
      <c r="A688" s="14">
        <v>687</v>
      </c>
      <c r="B688" s="42" t="s">
        <v>2472</v>
      </c>
      <c r="C688" s="18" t="s">
        <v>2473</v>
      </c>
      <c r="D688" s="41" t="s">
        <v>2474</v>
      </c>
      <c r="E688" s="42" t="s">
        <v>2475</v>
      </c>
      <c r="F688" s="15" t="s">
        <v>2476</v>
      </c>
      <c r="G688" s="18" t="s">
        <v>17</v>
      </c>
    </row>
    <row r="689" spans="1:7" ht="31.5" x14ac:dyDescent="0.25">
      <c r="A689" s="14">
        <v>688</v>
      </c>
      <c r="B689" s="25" t="s">
        <v>2477</v>
      </c>
      <c r="C689" s="43" t="s">
        <v>2478</v>
      </c>
      <c r="D689" s="43" t="s">
        <v>2479</v>
      </c>
      <c r="E689" s="25" t="s">
        <v>33</v>
      </c>
      <c r="F689" s="44" t="s">
        <v>2480</v>
      </c>
      <c r="G689" s="18" t="s">
        <v>11</v>
      </c>
    </row>
    <row r="690" spans="1:7" ht="31.5" x14ac:dyDescent="0.25">
      <c r="A690" s="14">
        <v>689</v>
      </c>
      <c r="B690" s="43" t="s">
        <v>2481</v>
      </c>
      <c r="C690" s="25" t="s">
        <v>2482</v>
      </c>
      <c r="D690" s="25" t="s">
        <v>2483</v>
      </c>
      <c r="E690" s="25" t="s">
        <v>33</v>
      </c>
      <c r="F690" s="20" t="s">
        <v>2484</v>
      </c>
      <c r="G690" s="18" t="s">
        <v>11</v>
      </c>
    </row>
    <row r="691" spans="1:7" x14ac:dyDescent="0.25">
      <c r="A691" s="14">
        <v>690</v>
      </c>
      <c r="B691" s="40" t="s">
        <v>2485</v>
      </c>
      <c r="C691" s="18" t="s">
        <v>2486</v>
      </c>
      <c r="D691" s="41" t="s">
        <v>2487</v>
      </c>
      <c r="E691" s="41" t="s">
        <v>2405</v>
      </c>
      <c r="F691" s="21" t="s">
        <v>2488</v>
      </c>
      <c r="G691" s="18" t="s">
        <v>3</v>
      </c>
    </row>
    <row r="692" spans="1:7" x14ac:dyDescent="0.25">
      <c r="A692" s="14">
        <v>691</v>
      </c>
      <c r="B692" s="40" t="s">
        <v>2489</v>
      </c>
      <c r="C692" s="18" t="s">
        <v>2490</v>
      </c>
      <c r="D692" s="41" t="s">
        <v>2491</v>
      </c>
      <c r="E692" s="39" t="s">
        <v>33</v>
      </c>
      <c r="F692" s="15" t="s">
        <v>2492</v>
      </c>
      <c r="G692" s="18" t="s">
        <v>14</v>
      </c>
    </row>
    <row r="693" spans="1:7" x14ac:dyDescent="0.25">
      <c r="A693" s="14">
        <v>692</v>
      </c>
      <c r="B693" s="40" t="s">
        <v>2493</v>
      </c>
      <c r="C693" s="18" t="s">
        <v>2494</v>
      </c>
      <c r="D693" s="41" t="s">
        <v>2495</v>
      </c>
      <c r="E693" s="41" t="s">
        <v>2400</v>
      </c>
      <c r="F693" s="15" t="s">
        <v>2496</v>
      </c>
      <c r="G693" s="18" t="s">
        <v>13</v>
      </c>
    </row>
    <row r="694" spans="1:7" ht="30" customHeight="1" x14ac:dyDescent="0.25">
      <c r="A694" s="14">
        <v>693</v>
      </c>
      <c r="B694" s="42" t="s">
        <v>2497</v>
      </c>
      <c r="C694" s="18" t="s">
        <v>1069</v>
      </c>
      <c r="D694" s="41" t="s">
        <v>2498</v>
      </c>
      <c r="E694" s="41" t="s">
        <v>2499</v>
      </c>
      <c r="F694" s="15" t="s">
        <v>2500</v>
      </c>
      <c r="G694" s="18" t="s">
        <v>17</v>
      </c>
    </row>
    <row r="695" spans="1:7" ht="30" x14ac:dyDescent="0.25">
      <c r="A695" s="14">
        <v>694</v>
      </c>
      <c r="B695" s="40" t="s">
        <v>2501</v>
      </c>
      <c r="C695" s="18" t="s">
        <v>2502</v>
      </c>
      <c r="D695" s="41" t="s">
        <v>2503</v>
      </c>
      <c r="E695" s="41" t="s">
        <v>2499</v>
      </c>
      <c r="F695" s="15" t="s">
        <v>2504</v>
      </c>
      <c r="G695" s="18" t="s">
        <v>17</v>
      </c>
    </row>
    <row r="696" spans="1:7" ht="30" customHeight="1" x14ac:dyDescent="0.25">
      <c r="A696" s="14">
        <v>695</v>
      </c>
      <c r="B696" s="45" t="s">
        <v>2505</v>
      </c>
      <c r="C696" s="18" t="s">
        <v>2506</v>
      </c>
      <c r="D696" s="41" t="s">
        <v>2507</v>
      </c>
      <c r="E696" s="41" t="s">
        <v>2508</v>
      </c>
      <c r="F696" s="15" t="s">
        <v>2509</v>
      </c>
      <c r="G696" s="18" t="s">
        <v>17</v>
      </c>
    </row>
    <row r="697" spans="1:7" ht="31.5" customHeight="1" x14ac:dyDescent="0.25">
      <c r="A697" s="14">
        <v>696</v>
      </c>
      <c r="B697" s="39" t="s">
        <v>2510</v>
      </c>
      <c r="C697" s="18" t="s">
        <v>2511</v>
      </c>
      <c r="D697" s="41" t="s">
        <v>2512</v>
      </c>
      <c r="E697" s="46" t="s">
        <v>33</v>
      </c>
      <c r="F697" s="20" t="s">
        <v>2513</v>
      </c>
      <c r="G697" s="18" t="s">
        <v>17</v>
      </c>
    </row>
    <row r="698" spans="1:7" ht="31.5" customHeight="1" x14ac:dyDescent="0.25">
      <c r="A698" s="14">
        <v>697</v>
      </c>
      <c r="B698" s="39" t="s">
        <v>2514</v>
      </c>
      <c r="C698" s="18" t="s">
        <v>2515</v>
      </c>
      <c r="D698" s="41" t="s">
        <v>2516</v>
      </c>
      <c r="E698" s="46" t="s">
        <v>33</v>
      </c>
      <c r="F698" s="20" t="s">
        <v>2517</v>
      </c>
      <c r="G698" s="18" t="s">
        <v>17</v>
      </c>
    </row>
    <row r="699" spans="1:7" ht="31.5" customHeight="1" x14ac:dyDescent="0.25">
      <c r="A699" s="14">
        <v>698</v>
      </c>
      <c r="B699" s="39" t="s">
        <v>2518</v>
      </c>
      <c r="C699" s="18" t="s">
        <v>1667</v>
      </c>
      <c r="D699" s="41" t="s">
        <v>2519</v>
      </c>
      <c r="E699" s="41" t="s">
        <v>2405</v>
      </c>
      <c r="F699" s="24" t="s">
        <v>2520</v>
      </c>
      <c r="G699" s="18" t="s">
        <v>17</v>
      </c>
    </row>
    <row r="700" spans="1:7" ht="31.5" customHeight="1" x14ac:dyDescent="0.25">
      <c r="A700" s="14">
        <v>699</v>
      </c>
      <c r="B700" s="39" t="s">
        <v>2521</v>
      </c>
      <c r="C700" s="18" t="s">
        <v>2522</v>
      </c>
      <c r="D700" s="41" t="s">
        <v>2523</v>
      </c>
      <c r="E700" s="46" t="s">
        <v>33</v>
      </c>
      <c r="F700" s="20" t="s">
        <v>2524</v>
      </c>
      <c r="G700" s="18" t="s">
        <v>17</v>
      </c>
    </row>
    <row r="701" spans="1:7" ht="31.5" customHeight="1" x14ac:dyDescent="0.25">
      <c r="A701" s="14">
        <v>700</v>
      </c>
      <c r="B701" s="39" t="s">
        <v>2525</v>
      </c>
      <c r="C701" s="18" t="s">
        <v>2526</v>
      </c>
      <c r="D701" s="41" t="s">
        <v>2527</v>
      </c>
      <c r="E701" s="46" t="s">
        <v>33</v>
      </c>
      <c r="F701" s="24" t="s">
        <v>2528</v>
      </c>
      <c r="G701" s="18" t="s">
        <v>16</v>
      </c>
    </row>
    <row r="702" spans="1:7" ht="31.5" customHeight="1" x14ac:dyDescent="0.25">
      <c r="A702" s="14">
        <v>701</v>
      </c>
      <c r="B702" s="39" t="s">
        <v>2529</v>
      </c>
      <c r="C702" s="18" t="s">
        <v>2530</v>
      </c>
      <c r="D702" s="41" t="s">
        <v>2531</v>
      </c>
      <c r="E702" s="39" t="s">
        <v>2418</v>
      </c>
      <c r="F702" s="20" t="s">
        <v>2532</v>
      </c>
      <c r="G702" s="18" t="s">
        <v>17</v>
      </c>
    </row>
    <row r="703" spans="1:7" ht="31.5" customHeight="1" x14ac:dyDescent="0.25">
      <c r="A703" s="14">
        <v>702</v>
      </c>
      <c r="B703" s="45" t="s">
        <v>2533</v>
      </c>
      <c r="C703" s="18" t="s">
        <v>2011</v>
      </c>
      <c r="D703" s="41" t="s">
        <v>2534</v>
      </c>
      <c r="E703" s="47" t="s">
        <v>2499</v>
      </c>
      <c r="F703" s="20" t="s">
        <v>2535</v>
      </c>
      <c r="G703" s="18" t="s">
        <v>17</v>
      </c>
    </row>
    <row r="704" spans="1:7" ht="31.5" customHeight="1" x14ac:dyDescent="0.25">
      <c r="A704" s="14">
        <v>703</v>
      </c>
      <c r="B704" s="45" t="s">
        <v>2536</v>
      </c>
      <c r="C704" s="18" t="s">
        <v>2537</v>
      </c>
      <c r="D704" s="41" t="s">
        <v>2538</v>
      </c>
      <c r="E704" s="47" t="s">
        <v>2499</v>
      </c>
      <c r="F704" s="24" t="s">
        <v>2539</v>
      </c>
      <c r="G704" s="18" t="s">
        <v>17</v>
      </c>
    </row>
    <row r="705" spans="1:7" s="48" customFormat="1" ht="58.5" customHeight="1" x14ac:dyDescent="0.25">
      <c r="A705" s="14">
        <v>704</v>
      </c>
      <c r="B705" s="45" t="s">
        <v>2540</v>
      </c>
      <c r="C705" s="49" t="s">
        <v>2541</v>
      </c>
      <c r="D705" s="50" t="s">
        <v>2542</v>
      </c>
      <c r="E705" s="51" t="s">
        <v>33</v>
      </c>
      <c r="F705" s="20" t="s">
        <v>2543</v>
      </c>
      <c r="G705" s="18" t="s">
        <v>17</v>
      </c>
    </row>
    <row r="706" spans="1:7" s="48" customFormat="1" ht="31.5" customHeight="1" x14ac:dyDescent="0.25">
      <c r="A706" s="14">
        <v>705</v>
      </c>
      <c r="B706" s="52" t="s">
        <v>2544</v>
      </c>
      <c r="C706" s="49" t="s">
        <v>2545</v>
      </c>
      <c r="D706" s="50" t="s">
        <v>2546</v>
      </c>
      <c r="E706" s="51" t="s">
        <v>33</v>
      </c>
      <c r="F706" s="24" t="s">
        <v>2547</v>
      </c>
      <c r="G706" s="18" t="s">
        <v>2</v>
      </c>
    </row>
    <row r="707" spans="1:7" ht="31.5" customHeight="1" x14ac:dyDescent="0.25">
      <c r="A707" s="14">
        <v>706</v>
      </c>
      <c r="B707" s="40" t="s">
        <v>2548</v>
      </c>
      <c r="C707" s="18" t="s">
        <v>2549</v>
      </c>
      <c r="D707" s="41" t="s">
        <v>2550</v>
      </c>
      <c r="E707" s="51" t="s">
        <v>33</v>
      </c>
      <c r="F707" s="20" t="s">
        <v>2551</v>
      </c>
      <c r="G707" s="18" t="s">
        <v>2</v>
      </c>
    </row>
    <row r="708" spans="1:7" ht="31.5" customHeight="1" x14ac:dyDescent="0.25">
      <c r="A708" s="14">
        <v>707</v>
      </c>
      <c r="B708" s="40" t="s">
        <v>2552</v>
      </c>
      <c r="C708" s="18" t="s">
        <v>2553</v>
      </c>
      <c r="D708" s="41" t="s">
        <v>2550</v>
      </c>
      <c r="E708" s="47" t="s">
        <v>2499</v>
      </c>
      <c r="F708" s="20" t="s">
        <v>2554</v>
      </c>
      <c r="G708" s="18" t="s">
        <v>2</v>
      </c>
    </row>
    <row r="709" spans="1:7" ht="31.5" customHeight="1" x14ac:dyDescent="0.25">
      <c r="A709" s="14">
        <v>708</v>
      </c>
      <c r="B709" s="40" t="s">
        <v>2555</v>
      </c>
      <c r="C709" s="18"/>
      <c r="D709" s="41" t="s">
        <v>2556</v>
      </c>
      <c r="E709" s="47" t="s">
        <v>2499</v>
      </c>
      <c r="F709" s="24" t="s">
        <v>2557</v>
      </c>
      <c r="G709" s="18" t="s">
        <v>10</v>
      </c>
    </row>
    <row r="710" spans="1:7" ht="31.5" customHeight="1" x14ac:dyDescent="0.25">
      <c r="A710" s="14">
        <v>709</v>
      </c>
      <c r="B710" s="53" t="s">
        <v>2558</v>
      </c>
      <c r="C710" s="54"/>
      <c r="D710" s="50" t="s">
        <v>2559</v>
      </c>
      <c r="E710" s="51" t="s">
        <v>33</v>
      </c>
      <c r="F710" s="20" t="s">
        <v>2560</v>
      </c>
      <c r="G710" s="18" t="s">
        <v>17</v>
      </c>
    </row>
    <row r="711" spans="1:7" x14ac:dyDescent="0.25">
      <c r="A711" s="14">
        <v>710</v>
      </c>
      <c r="B711" s="40" t="s">
        <v>2561</v>
      </c>
      <c r="C711" s="18"/>
      <c r="D711" s="42" t="s">
        <v>2562</v>
      </c>
      <c r="E711" s="42" t="s">
        <v>2563</v>
      </c>
      <c r="F711" s="15" t="s">
        <v>2564</v>
      </c>
      <c r="G711" s="18" t="s">
        <v>18</v>
      </c>
    </row>
    <row r="712" spans="1:7" ht="30" x14ac:dyDescent="0.25">
      <c r="A712" s="14">
        <v>711</v>
      </c>
      <c r="B712" s="40" t="s">
        <v>2565</v>
      </c>
      <c r="C712" s="18"/>
      <c r="D712" s="42" t="s">
        <v>2566</v>
      </c>
      <c r="E712" s="42" t="s">
        <v>2563</v>
      </c>
      <c r="F712" s="15" t="s">
        <v>2567</v>
      </c>
      <c r="G712" s="18" t="s">
        <v>12</v>
      </c>
    </row>
    <row r="713" spans="1:7" x14ac:dyDescent="0.25">
      <c r="A713" s="14">
        <v>712</v>
      </c>
      <c r="B713" s="40" t="s">
        <v>2568</v>
      </c>
      <c r="C713" s="18"/>
      <c r="D713" s="42" t="s">
        <v>2569</v>
      </c>
      <c r="E713" s="42" t="s">
        <v>2563</v>
      </c>
      <c r="F713" s="21" t="s">
        <v>2570</v>
      </c>
      <c r="G713" s="18" t="s">
        <v>10</v>
      </c>
    </row>
    <row r="714" spans="1:7" x14ac:dyDescent="0.25">
      <c r="A714" s="14">
        <v>713</v>
      </c>
      <c r="B714" s="40" t="s">
        <v>2571</v>
      </c>
      <c r="C714" s="18"/>
      <c r="D714" s="42" t="s">
        <v>2572</v>
      </c>
      <c r="E714" s="42" t="s">
        <v>2563</v>
      </c>
      <c r="F714" s="15" t="s">
        <v>2573</v>
      </c>
      <c r="G714" s="18" t="s">
        <v>16</v>
      </c>
    </row>
    <row r="715" spans="1:7" x14ac:dyDescent="0.25">
      <c r="A715" s="14">
        <v>714</v>
      </c>
      <c r="B715" s="40" t="s">
        <v>2574</v>
      </c>
      <c r="C715" s="18"/>
      <c r="D715" s="42" t="s">
        <v>2575</v>
      </c>
      <c r="E715" s="42" t="s">
        <v>2563</v>
      </c>
      <c r="F715" s="21" t="s">
        <v>2576</v>
      </c>
      <c r="G715" s="18" t="s">
        <v>4</v>
      </c>
    </row>
    <row r="716" spans="1:7" x14ac:dyDescent="0.25">
      <c r="A716" s="14">
        <v>715</v>
      </c>
      <c r="B716" s="40" t="s">
        <v>2577</v>
      </c>
      <c r="C716" s="18"/>
      <c r="D716" s="42" t="s">
        <v>2578</v>
      </c>
      <c r="E716" s="42" t="s">
        <v>2563</v>
      </c>
      <c r="F716" s="15" t="s">
        <v>2579</v>
      </c>
      <c r="G716" s="18" t="s">
        <v>8</v>
      </c>
    </row>
    <row r="717" spans="1:7" x14ac:dyDescent="0.25">
      <c r="A717" s="14">
        <v>716</v>
      </c>
      <c r="B717" s="40" t="s">
        <v>2580</v>
      </c>
      <c r="C717" s="18"/>
      <c r="D717" s="42" t="s">
        <v>2581</v>
      </c>
      <c r="E717" s="42" t="s">
        <v>2563</v>
      </c>
      <c r="F717" s="15" t="s">
        <v>2266</v>
      </c>
      <c r="G717" s="18" t="s">
        <v>13</v>
      </c>
    </row>
    <row r="718" spans="1:7" x14ac:dyDescent="0.25">
      <c r="A718" s="14">
        <v>717</v>
      </c>
      <c r="B718" s="40" t="s">
        <v>2582</v>
      </c>
      <c r="C718" s="18"/>
      <c r="D718" s="42" t="s">
        <v>2583</v>
      </c>
      <c r="E718" s="42" t="s">
        <v>2563</v>
      </c>
      <c r="F718" s="15" t="s">
        <v>2584</v>
      </c>
      <c r="G718" s="18" t="s">
        <v>8</v>
      </c>
    </row>
    <row r="719" spans="1:7" x14ac:dyDescent="0.25">
      <c r="A719" s="14">
        <v>718</v>
      </c>
      <c r="B719" s="40" t="s">
        <v>2585</v>
      </c>
      <c r="C719" s="18"/>
      <c r="D719" s="42" t="s">
        <v>2586</v>
      </c>
      <c r="E719" s="42" t="s">
        <v>2563</v>
      </c>
      <c r="F719" s="21" t="s">
        <v>2587</v>
      </c>
      <c r="G719" s="18" t="s">
        <v>2</v>
      </c>
    </row>
    <row r="720" spans="1:7" x14ac:dyDescent="0.25">
      <c r="A720" s="14">
        <v>719</v>
      </c>
      <c r="B720" s="40" t="s">
        <v>2588</v>
      </c>
      <c r="C720" s="18"/>
      <c r="D720" s="42" t="s">
        <v>2589</v>
      </c>
      <c r="E720" s="42" t="s">
        <v>2563</v>
      </c>
      <c r="F720" s="21" t="s">
        <v>2590</v>
      </c>
      <c r="G720" s="18" t="s">
        <v>21</v>
      </c>
    </row>
    <row r="721" spans="1:7" x14ac:dyDescent="0.25">
      <c r="A721" s="14">
        <v>720</v>
      </c>
      <c r="B721" s="40" t="s">
        <v>2591</v>
      </c>
      <c r="C721" s="18"/>
      <c r="D721" s="42" t="s">
        <v>2592</v>
      </c>
      <c r="E721" s="42" t="s">
        <v>2563</v>
      </c>
      <c r="F721" s="15" t="s">
        <v>2593</v>
      </c>
      <c r="G721" s="18" t="s">
        <v>9</v>
      </c>
    </row>
    <row r="722" spans="1:7" x14ac:dyDescent="0.25">
      <c r="A722" s="14">
        <v>721</v>
      </c>
      <c r="B722" s="40" t="s">
        <v>2594</v>
      </c>
      <c r="C722" s="18"/>
      <c r="D722" s="42" t="s">
        <v>2595</v>
      </c>
      <c r="E722" s="42" t="s">
        <v>2563</v>
      </c>
      <c r="F722" s="15" t="s">
        <v>2596</v>
      </c>
      <c r="G722" s="18" t="s">
        <v>14</v>
      </c>
    </row>
    <row r="723" spans="1:7" x14ac:dyDescent="0.25">
      <c r="A723" s="14">
        <v>722</v>
      </c>
      <c r="B723" s="40" t="s">
        <v>2597</v>
      </c>
      <c r="C723" s="18"/>
      <c r="D723" s="42" t="s">
        <v>2598</v>
      </c>
      <c r="E723" s="42" t="s">
        <v>2563</v>
      </c>
      <c r="F723" s="15" t="s">
        <v>2599</v>
      </c>
      <c r="G723" s="18" t="s">
        <v>5</v>
      </c>
    </row>
    <row r="724" spans="1:7" x14ac:dyDescent="0.25">
      <c r="A724" s="14">
        <v>723</v>
      </c>
      <c r="B724" s="40" t="s">
        <v>2600</v>
      </c>
      <c r="C724" s="18"/>
      <c r="D724" s="42" t="s">
        <v>2601</v>
      </c>
      <c r="E724" s="42" t="s">
        <v>2563</v>
      </c>
      <c r="F724" s="21" t="s">
        <v>2602</v>
      </c>
      <c r="G724" s="18" t="s">
        <v>2</v>
      </c>
    </row>
    <row r="725" spans="1:7" x14ac:dyDescent="0.25">
      <c r="A725" s="14">
        <v>724</v>
      </c>
      <c r="B725" s="40" t="s">
        <v>2603</v>
      </c>
      <c r="C725" s="18"/>
      <c r="D725" s="42" t="s">
        <v>2604</v>
      </c>
      <c r="E725" s="42" t="s">
        <v>2563</v>
      </c>
      <c r="F725" s="21" t="s">
        <v>2605</v>
      </c>
      <c r="G725" s="18" t="s">
        <v>4</v>
      </c>
    </row>
    <row r="726" spans="1:7" ht="30" x14ac:dyDescent="0.25">
      <c r="A726" s="14">
        <v>725</v>
      </c>
      <c r="B726" s="40" t="s">
        <v>2606</v>
      </c>
      <c r="C726" s="18"/>
      <c r="D726" s="42" t="s">
        <v>2607</v>
      </c>
      <c r="E726" s="42" t="s">
        <v>2563</v>
      </c>
      <c r="F726" s="15" t="s">
        <v>2608</v>
      </c>
      <c r="G726" s="18" t="s">
        <v>17</v>
      </c>
    </row>
    <row r="727" spans="1:7" x14ac:dyDescent="0.25">
      <c r="A727" s="14">
        <v>726</v>
      </c>
      <c r="B727" s="40" t="s">
        <v>2609</v>
      </c>
      <c r="C727" s="18"/>
      <c r="D727" s="42" t="s">
        <v>2610</v>
      </c>
      <c r="E727" s="42" t="s">
        <v>2563</v>
      </c>
      <c r="F727" s="21" t="s">
        <v>2611</v>
      </c>
      <c r="G727" s="18" t="s">
        <v>2</v>
      </c>
    </row>
    <row r="728" spans="1:7" x14ac:dyDescent="0.25">
      <c r="A728" s="14">
        <v>727</v>
      </c>
      <c r="B728" s="40" t="s">
        <v>2612</v>
      </c>
      <c r="C728" s="18"/>
      <c r="D728" s="42" t="s">
        <v>2613</v>
      </c>
      <c r="E728" s="42" t="s">
        <v>2563</v>
      </c>
      <c r="F728" s="21" t="s">
        <v>2614</v>
      </c>
      <c r="G728" s="18" t="s">
        <v>4</v>
      </c>
    </row>
    <row r="729" spans="1:7" x14ac:dyDescent="0.25">
      <c r="A729" s="14">
        <v>728</v>
      </c>
      <c r="B729" s="40" t="s">
        <v>2615</v>
      </c>
      <c r="C729" s="18"/>
      <c r="D729" s="42" t="s">
        <v>2616</v>
      </c>
      <c r="E729" s="42" t="s">
        <v>2563</v>
      </c>
      <c r="F729" s="15" t="s">
        <v>2617</v>
      </c>
      <c r="G729" s="18" t="s">
        <v>8</v>
      </c>
    </row>
    <row r="730" spans="1:7" x14ac:dyDescent="0.25">
      <c r="A730" s="14">
        <v>729</v>
      </c>
      <c r="B730" s="40" t="s">
        <v>2618</v>
      </c>
      <c r="C730" s="18"/>
      <c r="D730" s="42" t="s">
        <v>2619</v>
      </c>
      <c r="E730" s="42" t="s">
        <v>2563</v>
      </c>
      <c r="F730" s="15" t="s">
        <v>2620</v>
      </c>
      <c r="G730" s="18" t="s">
        <v>9</v>
      </c>
    </row>
    <row r="731" spans="1:7" x14ac:dyDescent="0.25">
      <c r="A731" s="14">
        <v>730</v>
      </c>
      <c r="B731" s="40" t="s">
        <v>2621</v>
      </c>
      <c r="C731" s="18"/>
      <c r="D731" s="42" t="s">
        <v>2622</v>
      </c>
      <c r="E731" s="42" t="s">
        <v>2563</v>
      </c>
      <c r="F731" s="15" t="s">
        <v>2623</v>
      </c>
      <c r="G731" s="18" t="s">
        <v>21</v>
      </c>
    </row>
    <row r="732" spans="1:7" x14ac:dyDescent="0.25">
      <c r="A732" s="14">
        <v>731</v>
      </c>
      <c r="B732" s="40" t="s">
        <v>2624</v>
      </c>
      <c r="C732" s="18"/>
      <c r="D732" s="42" t="s">
        <v>2625</v>
      </c>
      <c r="E732" s="42" t="s">
        <v>2563</v>
      </c>
      <c r="F732" s="21" t="s">
        <v>2626</v>
      </c>
      <c r="G732" s="18" t="s">
        <v>4</v>
      </c>
    </row>
    <row r="733" spans="1:7" x14ac:dyDescent="0.25">
      <c r="A733" s="14">
        <v>732</v>
      </c>
      <c r="B733" s="40" t="s">
        <v>2627</v>
      </c>
      <c r="C733" s="18"/>
      <c r="D733" s="42" t="s">
        <v>2628</v>
      </c>
      <c r="E733" s="42" t="s">
        <v>2563</v>
      </c>
      <c r="F733" s="21" t="s">
        <v>2629</v>
      </c>
      <c r="G733" s="18" t="s">
        <v>4</v>
      </c>
    </row>
    <row r="734" spans="1:7" x14ac:dyDescent="0.25">
      <c r="A734" s="14">
        <v>733</v>
      </c>
      <c r="B734" s="40" t="s">
        <v>2630</v>
      </c>
      <c r="C734" s="18"/>
      <c r="D734" s="42" t="s">
        <v>2631</v>
      </c>
      <c r="E734" s="42" t="s">
        <v>2563</v>
      </c>
      <c r="F734" s="21" t="s">
        <v>2632</v>
      </c>
      <c r="G734" s="18" t="s">
        <v>4</v>
      </c>
    </row>
    <row r="735" spans="1:7" x14ac:dyDescent="0.25">
      <c r="A735" s="14">
        <v>734</v>
      </c>
      <c r="B735" s="40" t="s">
        <v>2633</v>
      </c>
      <c r="C735" s="18"/>
      <c r="D735" s="42" t="s">
        <v>2634</v>
      </c>
      <c r="E735" s="42" t="s">
        <v>2563</v>
      </c>
      <c r="F735" s="21" t="s">
        <v>2635</v>
      </c>
      <c r="G735" s="18" t="s">
        <v>2</v>
      </c>
    </row>
    <row r="736" spans="1:7" ht="30" x14ac:dyDescent="0.25">
      <c r="A736" s="14">
        <v>735</v>
      </c>
      <c r="B736" s="40" t="s">
        <v>2636</v>
      </c>
      <c r="C736" s="18"/>
      <c r="D736" s="42" t="s">
        <v>2637</v>
      </c>
      <c r="E736" s="42" t="s">
        <v>2563</v>
      </c>
      <c r="F736" s="15" t="s">
        <v>2638</v>
      </c>
      <c r="G736" s="18" t="s">
        <v>15</v>
      </c>
    </row>
    <row r="737" spans="1:7" x14ac:dyDescent="0.25">
      <c r="A737" s="14">
        <v>736</v>
      </c>
      <c r="B737" s="40" t="s">
        <v>2639</v>
      </c>
      <c r="C737" s="18"/>
      <c r="D737" s="42" t="s">
        <v>2640</v>
      </c>
      <c r="E737" s="42" t="s">
        <v>2563</v>
      </c>
      <c r="F737" s="15" t="s">
        <v>2641</v>
      </c>
      <c r="G737" s="18" t="s">
        <v>13</v>
      </c>
    </row>
    <row r="738" spans="1:7" x14ac:dyDescent="0.25">
      <c r="A738" s="14">
        <v>737</v>
      </c>
      <c r="B738" s="40" t="s">
        <v>2642</v>
      </c>
      <c r="C738" s="18"/>
      <c r="D738" s="42" t="s">
        <v>2643</v>
      </c>
      <c r="E738" s="42" t="s">
        <v>2563</v>
      </c>
      <c r="F738" s="21" t="s">
        <v>2644</v>
      </c>
      <c r="G738" s="18" t="s">
        <v>2</v>
      </c>
    </row>
    <row r="739" spans="1:7" x14ac:dyDescent="0.25">
      <c r="A739" s="14">
        <v>738</v>
      </c>
      <c r="B739" s="40" t="s">
        <v>2645</v>
      </c>
      <c r="C739" s="18"/>
      <c r="D739" s="42" t="s">
        <v>2646</v>
      </c>
      <c r="E739" s="42" t="s">
        <v>2563</v>
      </c>
      <c r="F739" s="15" t="s">
        <v>2647</v>
      </c>
      <c r="G739" s="18" t="s">
        <v>17</v>
      </c>
    </row>
    <row r="740" spans="1:7" x14ac:dyDescent="0.25">
      <c r="A740" s="14">
        <v>739</v>
      </c>
      <c r="B740" s="40" t="s">
        <v>2648</v>
      </c>
      <c r="C740" s="18"/>
      <c r="D740" s="42" t="s">
        <v>2649</v>
      </c>
      <c r="E740" s="42" t="s">
        <v>2563</v>
      </c>
      <c r="F740" s="15" t="s">
        <v>2650</v>
      </c>
      <c r="G740" s="18" t="s">
        <v>5</v>
      </c>
    </row>
    <row r="741" spans="1:7" x14ac:dyDescent="0.25">
      <c r="A741" s="14">
        <v>740</v>
      </c>
      <c r="B741" s="40" t="s">
        <v>2651</v>
      </c>
      <c r="C741" s="18"/>
      <c r="D741" s="42" t="s">
        <v>2652</v>
      </c>
      <c r="E741" s="42" t="s">
        <v>2563</v>
      </c>
      <c r="F741" s="15" t="s">
        <v>2653</v>
      </c>
      <c r="G741" s="18" t="s">
        <v>14</v>
      </c>
    </row>
    <row r="742" spans="1:7" ht="30" x14ac:dyDescent="0.25">
      <c r="A742" s="14">
        <v>741</v>
      </c>
      <c r="B742" s="40" t="s">
        <v>2654</v>
      </c>
      <c r="C742" s="18"/>
      <c r="D742" s="42" t="s">
        <v>2655</v>
      </c>
      <c r="E742" s="42" t="s">
        <v>2563</v>
      </c>
      <c r="F742" s="21" t="s">
        <v>2656</v>
      </c>
      <c r="G742" s="18" t="s">
        <v>17</v>
      </c>
    </row>
    <row r="743" spans="1:7" ht="30" customHeight="1" x14ac:dyDescent="0.25">
      <c r="A743" s="14">
        <v>742</v>
      </c>
      <c r="B743" s="40" t="s">
        <v>2657</v>
      </c>
      <c r="C743" s="18"/>
      <c r="D743" s="42" t="s">
        <v>2658</v>
      </c>
      <c r="E743" s="42" t="s">
        <v>2563</v>
      </c>
      <c r="F743" s="15" t="s">
        <v>2345</v>
      </c>
      <c r="G743" s="18" t="s">
        <v>10</v>
      </c>
    </row>
    <row r="744" spans="1:7" x14ac:dyDescent="0.25">
      <c r="A744" s="14">
        <v>743</v>
      </c>
      <c r="B744" s="40" t="s">
        <v>2659</v>
      </c>
      <c r="C744" s="18"/>
      <c r="D744" s="42" t="s">
        <v>2660</v>
      </c>
      <c r="E744" s="42" t="s">
        <v>2563</v>
      </c>
      <c r="F744" s="15" t="s">
        <v>2661</v>
      </c>
      <c r="G744" s="18" t="s">
        <v>5</v>
      </c>
    </row>
    <row r="745" spans="1:7" ht="30" customHeight="1" x14ac:dyDescent="0.25">
      <c r="A745" s="14">
        <v>744</v>
      </c>
      <c r="B745" s="40" t="s">
        <v>2662</v>
      </c>
      <c r="C745" s="18"/>
      <c r="D745" s="42" t="s">
        <v>2663</v>
      </c>
      <c r="E745" s="42" t="s">
        <v>2563</v>
      </c>
      <c r="F745" s="15" t="s">
        <v>2664</v>
      </c>
      <c r="G745" s="18" t="s">
        <v>17</v>
      </c>
    </row>
    <row r="746" spans="1:7" ht="30" customHeight="1" x14ac:dyDescent="0.25">
      <c r="A746" s="14">
        <v>745</v>
      </c>
      <c r="B746" s="40" t="s">
        <v>2665</v>
      </c>
      <c r="C746" s="18"/>
      <c r="D746" s="42" t="s">
        <v>2666</v>
      </c>
      <c r="E746" s="42" t="s">
        <v>2563</v>
      </c>
      <c r="F746" s="15" t="s">
        <v>2667</v>
      </c>
      <c r="G746" s="18" t="s">
        <v>19</v>
      </c>
    </row>
    <row r="747" spans="1:7" ht="30" x14ac:dyDescent="0.25">
      <c r="A747" s="14">
        <v>746</v>
      </c>
      <c r="B747" s="40" t="s">
        <v>2668</v>
      </c>
      <c r="C747" s="18"/>
      <c r="D747" s="42" t="s">
        <v>2669</v>
      </c>
      <c r="E747" s="42" t="s">
        <v>2563</v>
      </c>
      <c r="F747" s="21" t="s">
        <v>2670</v>
      </c>
      <c r="G747" s="18" t="s">
        <v>21</v>
      </c>
    </row>
    <row r="748" spans="1:7" x14ac:dyDescent="0.25">
      <c r="A748" s="14">
        <v>747</v>
      </c>
      <c r="B748" s="40" t="s">
        <v>2671</v>
      </c>
      <c r="C748" s="18"/>
      <c r="D748" s="42" t="s">
        <v>2672</v>
      </c>
      <c r="E748" s="42" t="s">
        <v>2563</v>
      </c>
      <c r="F748" s="15" t="s">
        <v>2673</v>
      </c>
      <c r="G748" s="18" t="s">
        <v>17</v>
      </c>
    </row>
    <row r="749" spans="1:7" x14ac:dyDescent="0.25">
      <c r="A749" s="14">
        <v>748</v>
      </c>
      <c r="B749" s="40" t="s">
        <v>2674</v>
      </c>
      <c r="C749" s="18"/>
      <c r="D749" s="42" t="s">
        <v>2675</v>
      </c>
      <c r="E749" s="42" t="s">
        <v>2563</v>
      </c>
      <c r="F749" s="15" t="s">
        <v>2676</v>
      </c>
      <c r="G749" s="18" t="s">
        <v>2</v>
      </c>
    </row>
    <row r="750" spans="1:7" x14ac:dyDescent="0.25">
      <c r="A750" s="14">
        <v>749</v>
      </c>
      <c r="B750" s="40" t="s">
        <v>2677</v>
      </c>
      <c r="C750" s="18"/>
      <c r="D750" s="42" t="s">
        <v>2678</v>
      </c>
      <c r="E750" s="42" t="s">
        <v>2405</v>
      </c>
      <c r="F750" s="15" t="s">
        <v>2679</v>
      </c>
      <c r="G750" s="18" t="s">
        <v>17</v>
      </c>
    </row>
    <row r="751" spans="1:7" ht="30" x14ac:dyDescent="0.25">
      <c r="A751" s="14">
        <v>750</v>
      </c>
      <c r="B751" s="40" t="s">
        <v>2680</v>
      </c>
      <c r="C751" s="18"/>
      <c r="D751" s="42" t="s">
        <v>2681</v>
      </c>
      <c r="E751" s="42" t="s">
        <v>2682</v>
      </c>
      <c r="F751" s="15" t="s">
        <v>2683</v>
      </c>
      <c r="G751" s="18" t="s">
        <v>17</v>
      </c>
    </row>
    <row r="752" spans="1:7" ht="30" customHeight="1" x14ac:dyDescent="0.25">
      <c r="A752" s="14">
        <v>751</v>
      </c>
      <c r="B752" s="40" t="s">
        <v>2684</v>
      </c>
      <c r="C752" s="18"/>
      <c r="D752" s="42" t="s">
        <v>2685</v>
      </c>
      <c r="E752" s="42" t="s">
        <v>2400</v>
      </c>
      <c r="F752" s="15" t="s">
        <v>2686</v>
      </c>
      <c r="G752" s="18" t="s">
        <v>17</v>
      </c>
    </row>
    <row r="753" spans="1:7" ht="30" customHeight="1" x14ac:dyDescent="0.25">
      <c r="A753" s="14">
        <v>752</v>
      </c>
      <c r="B753" s="40" t="s">
        <v>2687</v>
      </c>
      <c r="C753" s="18"/>
      <c r="D753" s="42" t="s">
        <v>2685</v>
      </c>
      <c r="E753" s="42" t="s">
        <v>2688</v>
      </c>
      <c r="F753" s="15" t="s">
        <v>2689</v>
      </c>
      <c r="G753" s="18" t="s">
        <v>17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22"/>
  <sheetViews>
    <sheetView zoomScaleNormal="100" workbookViewId="0">
      <selection activeCell="B3" sqref="B3"/>
    </sheetView>
  </sheetViews>
  <sheetFormatPr defaultRowHeight="15.75" customHeight="1" x14ac:dyDescent="0.25"/>
  <cols>
    <col min="1" max="1" width="14" customWidth="1"/>
    <col min="4" max="4" width="15.5703125" customWidth="1"/>
  </cols>
  <sheetData>
    <row r="3" spans="1:6" ht="16.5" customHeight="1" x14ac:dyDescent="0.25">
      <c r="A3" s="55" t="s">
        <v>17</v>
      </c>
      <c r="B3">
        <f>COUNTIF(Sheet1!G:G,Sheet2!A3)</f>
        <v>333</v>
      </c>
      <c r="D3" t="s">
        <v>2</v>
      </c>
      <c r="E3">
        <v>14</v>
      </c>
      <c r="F3">
        <f>VLOOKUP(D3,$A$3:$B$21,2,0)</f>
        <v>20</v>
      </c>
    </row>
    <row r="4" spans="1:6" ht="16.5" customHeight="1" x14ac:dyDescent="0.25">
      <c r="A4" s="55" t="s">
        <v>7</v>
      </c>
      <c r="B4">
        <f>COUNTIF(Sheet1!G:G,Sheet2!A4)</f>
        <v>8</v>
      </c>
      <c r="D4" t="s">
        <v>3</v>
      </c>
      <c r="E4">
        <v>8</v>
      </c>
      <c r="F4">
        <f t="shared" ref="F4:F22" si="0">VLOOKUP(D4,$A$3:$B$21,2,0)</f>
        <v>8</v>
      </c>
    </row>
    <row r="5" spans="1:6" ht="16.5" customHeight="1" x14ac:dyDescent="0.25">
      <c r="A5" s="55" t="s">
        <v>20</v>
      </c>
      <c r="B5">
        <f>COUNTIF(Sheet1!G:G,Sheet2!A5)</f>
        <v>13</v>
      </c>
      <c r="D5" t="s">
        <v>4</v>
      </c>
      <c r="E5">
        <v>32</v>
      </c>
      <c r="F5">
        <f t="shared" si="0"/>
        <v>38</v>
      </c>
    </row>
    <row r="6" spans="1:6" ht="16.5" customHeight="1" x14ac:dyDescent="0.25">
      <c r="A6" s="55" t="s">
        <v>15</v>
      </c>
      <c r="B6">
        <f>COUNTIF(Sheet1!G:G,Sheet2!A6)</f>
        <v>13</v>
      </c>
      <c r="D6" t="s">
        <v>5</v>
      </c>
      <c r="E6">
        <v>21</v>
      </c>
      <c r="F6">
        <f t="shared" si="0"/>
        <v>24</v>
      </c>
    </row>
    <row r="7" spans="1:6" ht="16.5" customHeight="1" x14ac:dyDescent="0.25">
      <c r="A7" s="55" t="s">
        <v>5</v>
      </c>
      <c r="B7">
        <f>COUNTIF(Sheet1!G:G,Sheet2!A7)</f>
        <v>24</v>
      </c>
      <c r="D7" t="s">
        <v>6</v>
      </c>
      <c r="E7">
        <v>2</v>
      </c>
      <c r="F7" t="e">
        <f t="shared" si="0"/>
        <v>#N/A</v>
      </c>
    </row>
    <row r="8" spans="1:6" ht="16.5" customHeight="1" x14ac:dyDescent="0.25">
      <c r="A8" s="55" t="s">
        <v>9</v>
      </c>
      <c r="B8">
        <f>COUNTIF(Sheet1!G:G,Sheet2!A8)</f>
        <v>34</v>
      </c>
      <c r="D8" t="s">
        <v>7</v>
      </c>
      <c r="E8">
        <v>8</v>
      </c>
      <c r="F8">
        <f t="shared" si="0"/>
        <v>8</v>
      </c>
    </row>
    <row r="9" spans="1:6" ht="16.5" customHeight="1" x14ac:dyDescent="0.25">
      <c r="A9" s="55" t="s">
        <v>12</v>
      </c>
      <c r="B9">
        <f>COUNTIF(Sheet1!G:G,Sheet2!A9)</f>
        <v>6</v>
      </c>
      <c r="D9" t="s">
        <v>8</v>
      </c>
      <c r="E9">
        <v>23</v>
      </c>
      <c r="F9">
        <f t="shared" si="0"/>
        <v>26</v>
      </c>
    </row>
    <row r="10" spans="1:6" ht="16.5" customHeight="1" x14ac:dyDescent="0.25">
      <c r="A10" s="55" t="s">
        <v>2</v>
      </c>
      <c r="B10">
        <f>COUNTIF(Sheet1!G:G,Sheet2!A10)</f>
        <v>20</v>
      </c>
      <c r="D10" t="s">
        <v>9</v>
      </c>
      <c r="E10">
        <v>32</v>
      </c>
      <c r="F10">
        <f t="shared" si="0"/>
        <v>34</v>
      </c>
    </row>
    <row r="11" spans="1:6" ht="16.5" customHeight="1" x14ac:dyDescent="0.25">
      <c r="A11" s="55" t="s">
        <v>4</v>
      </c>
      <c r="B11">
        <f>COUNTIF(Sheet1!G:G,Sheet2!A11)</f>
        <v>38</v>
      </c>
      <c r="D11" t="s">
        <v>10</v>
      </c>
      <c r="E11">
        <v>58</v>
      </c>
      <c r="F11">
        <f t="shared" si="0"/>
        <v>60</v>
      </c>
    </row>
    <row r="12" spans="1:6" ht="16.5" customHeight="1" x14ac:dyDescent="0.25">
      <c r="A12" s="55" t="s">
        <v>14</v>
      </c>
      <c r="B12">
        <f>COUNTIF(Sheet1!G:G,Sheet2!A12)</f>
        <v>53</v>
      </c>
      <c r="D12" t="s">
        <v>11</v>
      </c>
      <c r="E12">
        <v>5</v>
      </c>
      <c r="F12">
        <f t="shared" si="0"/>
        <v>5</v>
      </c>
    </row>
    <row r="13" spans="1:6" ht="16.5" customHeight="1" x14ac:dyDescent="0.25">
      <c r="A13" s="55" t="s">
        <v>10</v>
      </c>
      <c r="B13">
        <f>COUNTIF(Sheet1!G:G,Sheet2!A13)</f>
        <v>60</v>
      </c>
      <c r="D13" t="s">
        <v>12</v>
      </c>
      <c r="E13">
        <v>5</v>
      </c>
      <c r="F13">
        <f t="shared" si="0"/>
        <v>6</v>
      </c>
    </row>
    <row r="14" spans="1:6" ht="16.5" customHeight="1" x14ac:dyDescent="0.25">
      <c r="A14" s="55" t="s">
        <v>18</v>
      </c>
      <c r="B14">
        <f>COUNTIF(Sheet1!G:G,Sheet2!A14)</f>
        <v>7</v>
      </c>
      <c r="D14" t="s">
        <v>13</v>
      </c>
      <c r="E14">
        <v>24</v>
      </c>
      <c r="F14">
        <f t="shared" si="0"/>
        <v>26</v>
      </c>
    </row>
    <row r="15" spans="1:6" ht="16.5" customHeight="1" x14ac:dyDescent="0.25">
      <c r="A15" s="55" t="s">
        <v>3</v>
      </c>
      <c r="B15">
        <f>COUNTIF(Sheet1!G:G,Sheet2!A15)</f>
        <v>8</v>
      </c>
      <c r="D15" t="s">
        <v>14</v>
      </c>
      <c r="E15">
        <v>51</v>
      </c>
      <c r="F15">
        <f t="shared" si="0"/>
        <v>53</v>
      </c>
    </row>
    <row r="16" spans="1:6" ht="16.5" customHeight="1" x14ac:dyDescent="0.25">
      <c r="A16" s="55" t="s">
        <v>21</v>
      </c>
      <c r="B16">
        <f>COUNTIF(Sheet1!G:G,Sheet2!A16)</f>
        <v>35</v>
      </c>
      <c r="D16" t="s">
        <v>15</v>
      </c>
      <c r="E16">
        <v>12</v>
      </c>
      <c r="F16">
        <f t="shared" si="0"/>
        <v>13</v>
      </c>
    </row>
    <row r="17" spans="1:6" ht="16.5" customHeight="1" x14ac:dyDescent="0.25">
      <c r="A17" s="55" t="s">
        <v>13</v>
      </c>
      <c r="B17">
        <f>COUNTIF(Sheet1!G:G,Sheet2!A17)</f>
        <v>26</v>
      </c>
      <c r="D17" t="s">
        <v>16</v>
      </c>
      <c r="E17">
        <v>27</v>
      </c>
      <c r="F17">
        <f t="shared" si="0"/>
        <v>28</v>
      </c>
    </row>
    <row r="18" spans="1:6" ht="16.5" customHeight="1" x14ac:dyDescent="0.25">
      <c r="A18" s="55" t="s">
        <v>8</v>
      </c>
      <c r="B18">
        <f>COUNTIF(Sheet1!G:G,Sheet2!A18)</f>
        <v>26</v>
      </c>
      <c r="D18" t="s">
        <v>17</v>
      </c>
      <c r="E18">
        <v>324</v>
      </c>
      <c r="F18">
        <f t="shared" si="0"/>
        <v>333</v>
      </c>
    </row>
    <row r="19" spans="1:6" ht="16.5" customHeight="1" x14ac:dyDescent="0.25">
      <c r="A19" s="55" t="s">
        <v>19</v>
      </c>
      <c r="B19">
        <f>COUNTIF(Sheet1!G:G,Sheet2!A19)</f>
        <v>14</v>
      </c>
      <c r="D19" t="s">
        <v>18</v>
      </c>
      <c r="E19">
        <v>6</v>
      </c>
      <c r="F19">
        <f t="shared" si="0"/>
        <v>7</v>
      </c>
    </row>
    <row r="20" spans="1:6" ht="16.5" customHeight="1" x14ac:dyDescent="0.25">
      <c r="A20" s="55" t="s">
        <v>16</v>
      </c>
      <c r="B20">
        <f>COUNTIF(Sheet1!G:G,Sheet2!A20)</f>
        <v>28</v>
      </c>
      <c r="D20" t="s">
        <v>19</v>
      </c>
      <c r="E20">
        <v>12</v>
      </c>
      <c r="F20">
        <f t="shared" si="0"/>
        <v>14</v>
      </c>
    </row>
    <row r="21" spans="1:6" ht="16.5" customHeight="1" x14ac:dyDescent="0.25">
      <c r="A21" s="55" t="s">
        <v>11</v>
      </c>
      <c r="B21">
        <f>COUNTIF(Sheet1!G:G,Sheet2!A21)</f>
        <v>5</v>
      </c>
      <c r="D21" t="s">
        <v>20</v>
      </c>
      <c r="E21">
        <v>13</v>
      </c>
      <c r="F21">
        <f t="shared" si="0"/>
        <v>13</v>
      </c>
    </row>
    <row r="22" spans="1:6" ht="15" x14ac:dyDescent="0.25">
      <c r="D22" t="s">
        <v>21</v>
      </c>
      <c r="E22">
        <v>32</v>
      </c>
      <c r="F22">
        <f t="shared" si="0"/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zoomScaleNormal="100" workbookViewId="0">
      <selection activeCell="K29" sqref="K29"/>
    </sheetView>
  </sheetViews>
  <sheetFormatPr defaultColWidth="8.7109375" defaultRowHeight="15.75" customHeight="1" x14ac:dyDescent="0.25"/>
  <cols>
    <col min="1" max="1" width="8.7109375" style="56" customWidth="1"/>
    <col min="2" max="2" width="15.7109375" style="56" customWidth="1"/>
    <col min="3" max="4" width="12.42578125" style="57" customWidth="1"/>
    <col min="5" max="5" width="16.85546875" style="56" customWidth="1"/>
    <col min="6" max="6" width="16.28515625" style="56" customWidth="1"/>
    <col min="7" max="7" width="14.85546875" style="57" customWidth="1"/>
    <col min="8" max="8" width="21" style="56" customWidth="1"/>
    <col min="9" max="9" width="8.7109375" style="56" customWidth="1"/>
    <col min="10" max="16384" width="8.7109375" style="56"/>
  </cols>
  <sheetData>
    <row r="1" spans="1:14" s="58" customFormat="1" x14ac:dyDescent="0.25">
      <c r="A1" s="80" t="s">
        <v>23</v>
      </c>
      <c r="B1" s="80" t="s">
        <v>29</v>
      </c>
      <c r="C1" s="80" t="s">
        <v>2690</v>
      </c>
      <c r="D1" s="80" t="s">
        <v>2691</v>
      </c>
      <c r="E1" s="79" t="s">
        <v>2692</v>
      </c>
      <c r="F1" s="79"/>
      <c r="G1" s="79"/>
      <c r="H1" s="60" t="s">
        <v>2693</v>
      </c>
    </row>
    <row r="2" spans="1:14" s="61" customFormat="1" ht="47.25" customHeight="1" x14ac:dyDescent="0.25">
      <c r="A2" s="80"/>
      <c r="B2" s="80"/>
      <c r="C2" s="80"/>
      <c r="D2" s="80"/>
      <c r="E2" s="59" t="s">
        <v>2694</v>
      </c>
      <c r="F2" s="59" t="s">
        <v>2695</v>
      </c>
      <c r="G2" s="59" t="s">
        <v>2696</v>
      </c>
      <c r="H2" s="59" t="s">
        <v>2697</v>
      </c>
    </row>
    <row r="3" spans="1:14" s="62" customFormat="1" x14ac:dyDescent="0.25">
      <c r="A3" s="63"/>
      <c r="B3" s="64" t="s">
        <v>2698</v>
      </c>
      <c r="C3" s="63"/>
      <c r="D3" s="63"/>
      <c r="E3" s="65">
        <v>0.4</v>
      </c>
      <c r="F3" s="65">
        <v>0.4</v>
      </c>
      <c r="G3" s="65">
        <v>0.3</v>
      </c>
      <c r="H3" s="66"/>
    </row>
    <row r="4" spans="1:14" x14ac:dyDescent="0.25">
      <c r="A4" s="67">
        <v>1</v>
      </c>
      <c r="B4" s="68" t="s">
        <v>17</v>
      </c>
      <c r="C4" s="69">
        <v>324</v>
      </c>
      <c r="D4" s="70">
        <v>2913</v>
      </c>
      <c r="E4" s="69">
        <f>ROUND(C4*50%,0)</f>
        <v>162</v>
      </c>
      <c r="F4" s="71">
        <f>ROUND(C4*20%,0)</f>
        <v>65</v>
      </c>
      <c r="G4" s="70">
        <f>ROUND(30%*E4,0)</f>
        <v>49</v>
      </c>
      <c r="H4" s="72">
        <f>ROUND(D4*20%,0)</f>
        <v>583</v>
      </c>
      <c r="I4" s="56">
        <f>IF(H4&gt;200,1,IF(AND(H4&lt;200,H4&gt;100),2,IF(H4&lt;100,3,0)))</f>
        <v>1</v>
      </c>
      <c r="L4" s="56" t="s">
        <v>17</v>
      </c>
      <c r="M4" s="56">
        <v>583</v>
      </c>
      <c r="N4" s="56">
        <v>1</v>
      </c>
    </row>
    <row r="5" spans="1:14" x14ac:dyDescent="0.25">
      <c r="A5" s="67">
        <v>2</v>
      </c>
      <c r="B5" s="68" t="s">
        <v>7</v>
      </c>
      <c r="C5" s="69">
        <v>8</v>
      </c>
      <c r="D5" s="70">
        <v>106</v>
      </c>
      <c r="E5" s="69">
        <f t="shared" ref="E5:E22" si="0">ROUND(C5*50%,0)</f>
        <v>4</v>
      </c>
      <c r="F5" s="71">
        <f t="shared" ref="F5:F22" si="1">ROUND(C5*20%,0)</f>
        <v>2</v>
      </c>
      <c r="G5" s="70">
        <f t="shared" ref="G5:G22" si="2">ROUND(30%*E5,0)</f>
        <v>1</v>
      </c>
      <c r="H5" s="72">
        <f t="shared" ref="H5:H22" si="3">ROUND(D5*20%,0)</f>
        <v>21</v>
      </c>
      <c r="I5" s="56">
        <f t="shared" ref="I5:I22" si="4">IF(H5&gt;200,1,IF(AND(H5&lt;200,H5&gt;100),2,IF(H5&lt;100,3,0)))</f>
        <v>3</v>
      </c>
      <c r="L5" s="56" t="s">
        <v>14</v>
      </c>
      <c r="M5" s="56">
        <v>292</v>
      </c>
      <c r="N5" s="56">
        <v>1</v>
      </c>
    </row>
    <row r="6" spans="1:14" x14ac:dyDescent="0.25">
      <c r="A6" s="67">
        <v>3</v>
      </c>
      <c r="B6" s="68" t="s">
        <v>20</v>
      </c>
      <c r="C6" s="69">
        <v>13</v>
      </c>
      <c r="D6" s="70">
        <v>172</v>
      </c>
      <c r="E6" s="69">
        <f t="shared" si="0"/>
        <v>7</v>
      </c>
      <c r="F6" s="71">
        <f t="shared" si="1"/>
        <v>3</v>
      </c>
      <c r="G6" s="70">
        <f t="shared" si="2"/>
        <v>2</v>
      </c>
      <c r="H6" s="72">
        <f t="shared" si="3"/>
        <v>34</v>
      </c>
      <c r="I6" s="56">
        <f t="shared" si="4"/>
        <v>3</v>
      </c>
      <c r="L6" s="56" t="s">
        <v>4</v>
      </c>
      <c r="M6" s="56">
        <v>288</v>
      </c>
      <c r="N6" s="56">
        <v>1</v>
      </c>
    </row>
    <row r="7" spans="1:14" x14ac:dyDescent="0.25">
      <c r="A7" s="67">
        <v>4</v>
      </c>
      <c r="B7" s="68" t="s">
        <v>15</v>
      </c>
      <c r="C7" s="69">
        <v>12</v>
      </c>
      <c r="D7" s="70">
        <v>468</v>
      </c>
      <c r="E7" s="69">
        <f t="shared" si="0"/>
        <v>6</v>
      </c>
      <c r="F7" s="71">
        <f t="shared" si="1"/>
        <v>2</v>
      </c>
      <c r="G7" s="70">
        <f t="shared" si="2"/>
        <v>2</v>
      </c>
      <c r="H7" s="72">
        <f t="shared" si="3"/>
        <v>94</v>
      </c>
      <c r="I7" s="56">
        <f t="shared" si="4"/>
        <v>3</v>
      </c>
      <c r="L7" s="56" t="s">
        <v>21</v>
      </c>
      <c r="M7" s="56">
        <v>242</v>
      </c>
      <c r="N7" s="56">
        <v>1</v>
      </c>
    </row>
    <row r="8" spans="1:14" x14ac:dyDescent="0.25">
      <c r="A8" s="67">
        <v>5</v>
      </c>
      <c r="B8" s="68" t="s">
        <v>5</v>
      </c>
      <c r="C8" s="69">
        <v>21</v>
      </c>
      <c r="D8" s="70">
        <v>1007</v>
      </c>
      <c r="E8" s="69">
        <f t="shared" si="0"/>
        <v>11</v>
      </c>
      <c r="F8" s="71">
        <f t="shared" si="1"/>
        <v>4</v>
      </c>
      <c r="G8" s="70">
        <f t="shared" si="2"/>
        <v>3</v>
      </c>
      <c r="H8" s="72">
        <f t="shared" si="3"/>
        <v>201</v>
      </c>
      <c r="I8" s="56">
        <f t="shared" si="4"/>
        <v>1</v>
      </c>
      <c r="L8" s="56" t="s">
        <v>5</v>
      </c>
      <c r="M8" s="56">
        <v>201</v>
      </c>
      <c r="N8" s="56">
        <v>1</v>
      </c>
    </row>
    <row r="9" spans="1:14" x14ac:dyDescent="0.25">
      <c r="A9" s="67">
        <v>6</v>
      </c>
      <c r="B9" s="68" t="s">
        <v>9</v>
      </c>
      <c r="C9" s="69">
        <v>32</v>
      </c>
      <c r="D9" s="70">
        <v>917</v>
      </c>
      <c r="E9" s="69">
        <f t="shared" si="0"/>
        <v>16</v>
      </c>
      <c r="F9" s="71">
        <f t="shared" si="1"/>
        <v>6</v>
      </c>
      <c r="G9" s="70">
        <f t="shared" si="2"/>
        <v>5</v>
      </c>
      <c r="H9" s="72">
        <f t="shared" si="3"/>
        <v>183</v>
      </c>
      <c r="I9" s="56">
        <f t="shared" si="4"/>
        <v>2</v>
      </c>
      <c r="L9" s="73" t="s">
        <v>9</v>
      </c>
      <c r="M9" s="56">
        <v>183</v>
      </c>
      <c r="N9" s="56">
        <v>2</v>
      </c>
    </row>
    <row r="10" spans="1:14" x14ac:dyDescent="0.25">
      <c r="A10" s="67">
        <v>7</v>
      </c>
      <c r="B10" s="68" t="s">
        <v>12</v>
      </c>
      <c r="C10" s="69">
        <v>5</v>
      </c>
      <c r="D10" s="70">
        <v>232</v>
      </c>
      <c r="E10" s="69">
        <f t="shared" si="0"/>
        <v>3</v>
      </c>
      <c r="F10" s="71">
        <f t="shared" si="1"/>
        <v>1</v>
      </c>
      <c r="G10" s="70">
        <f t="shared" si="2"/>
        <v>1</v>
      </c>
      <c r="H10" s="72">
        <f t="shared" si="3"/>
        <v>46</v>
      </c>
      <c r="I10" s="56">
        <f t="shared" si="4"/>
        <v>3</v>
      </c>
      <c r="L10" s="73" t="s">
        <v>8</v>
      </c>
      <c r="M10" s="56">
        <v>167</v>
      </c>
      <c r="N10" s="56">
        <v>2</v>
      </c>
    </row>
    <row r="11" spans="1:14" x14ac:dyDescent="0.25">
      <c r="A11" s="67">
        <v>8</v>
      </c>
      <c r="B11" s="68" t="s">
        <v>2</v>
      </c>
      <c r="C11" s="69">
        <v>14</v>
      </c>
      <c r="D11" s="70">
        <v>526</v>
      </c>
      <c r="E11" s="69">
        <f t="shared" si="0"/>
        <v>7</v>
      </c>
      <c r="F11" s="71">
        <f t="shared" si="1"/>
        <v>3</v>
      </c>
      <c r="G11" s="70">
        <f t="shared" si="2"/>
        <v>2</v>
      </c>
      <c r="H11" s="72">
        <f t="shared" si="3"/>
        <v>105</v>
      </c>
      <c r="I11" s="56">
        <f t="shared" si="4"/>
        <v>2</v>
      </c>
      <c r="L11" s="73" t="s">
        <v>10</v>
      </c>
      <c r="M11" s="56">
        <v>165</v>
      </c>
      <c r="N11" s="56">
        <v>2</v>
      </c>
    </row>
    <row r="12" spans="1:14" x14ac:dyDescent="0.25">
      <c r="A12" s="67">
        <v>9</v>
      </c>
      <c r="B12" s="68" t="s">
        <v>4</v>
      </c>
      <c r="C12" s="69">
        <v>32</v>
      </c>
      <c r="D12" s="70">
        <v>1438</v>
      </c>
      <c r="E12" s="69">
        <f t="shared" si="0"/>
        <v>16</v>
      </c>
      <c r="F12" s="71">
        <f t="shared" si="1"/>
        <v>6</v>
      </c>
      <c r="G12" s="70">
        <f t="shared" si="2"/>
        <v>5</v>
      </c>
      <c r="H12" s="72">
        <f t="shared" si="3"/>
        <v>288</v>
      </c>
      <c r="I12" s="56">
        <f t="shared" si="4"/>
        <v>1</v>
      </c>
      <c r="L12" s="73" t="s">
        <v>16</v>
      </c>
      <c r="M12" s="56">
        <v>165</v>
      </c>
      <c r="N12" s="56">
        <v>2</v>
      </c>
    </row>
    <row r="13" spans="1:14" x14ac:dyDescent="0.25">
      <c r="A13" s="67">
        <v>10</v>
      </c>
      <c r="B13" s="68" t="s">
        <v>14</v>
      </c>
      <c r="C13" s="69">
        <v>51</v>
      </c>
      <c r="D13" s="70">
        <v>1458</v>
      </c>
      <c r="E13" s="69">
        <f t="shared" si="0"/>
        <v>26</v>
      </c>
      <c r="F13" s="71">
        <f t="shared" si="1"/>
        <v>10</v>
      </c>
      <c r="G13" s="70">
        <f t="shared" si="2"/>
        <v>8</v>
      </c>
      <c r="H13" s="72">
        <f t="shared" si="3"/>
        <v>292</v>
      </c>
      <c r="I13" s="56">
        <f t="shared" si="4"/>
        <v>1</v>
      </c>
      <c r="L13" s="73" t="s">
        <v>19</v>
      </c>
      <c r="M13" s="56">
        <v>111</v>
      </c>
      <c r="N13" s="56">
        <v>2</v>
      </c>
    </row>
    <row r="14" spans="1:14" x14ac:dyDescent="0.25">
      <c r="A14" s="67">
        <v>11</v>
      </c>
      <c r="B14" s="68" t="s">
        <v>10</v>
      </c>
      <c r="C14" s="69">
        <v>58</v>
      </c>
      <c r="D14" s="70">
        <v>827</v>
      </c>
      <c r="E14" s="69">
        <f t="shared" si="0"/>
        <v>29</v>
      </c>
      <c r="F14" s="71">
        <f t="shared" si="1"/>
        <v>12</v>
      </c>
      <c r="G14" s="70">
        <f t="shared" si="2"/>
        <v>9</v>
      </c>
      <c r="H14" s="72">
        <f t="shared" si="3"/>
        <v>165</v>
      </c>
      <c r="I14" s="56">
        <f t="shared" si="4"/>
        <v>2</v>
      </c>
      <c r="L14" s="73" t="s">
        <v>2</v>
      </c>
      <c r="M14" s="56">
        <v>105</v>
      </c>
      <c r="N14" s="56">
        <v>2</v>
      </c>
    </row>
    <row r="15" spans="1:14" x14ac:dyDescent="0.25">
      <c r="A15" s="67">
        <v>12</v>
      </c>
      <c r="B15" s="68" t="s">
        <v>18</v>
      </c>
      <c r="C15" s="69">
        <v>6</v>
      </c>
      <c r="D15" s="70">
        <v>115</v>
      </c>
      <c r="E15" s="69">
        <f t="shared" si="0"/>
        <v>3</v>
      </c>
      <c r="F15" s="71">
        <f t="shared" si="1"/>
        <v>1</v>
      </c>
      <c r="G15" s="70">
        <f t="shared" si="2"/>
        <v>1</v>
      </c>
      <c r="H15" s="72">
        <f t="shared" si="3"/>
        <v>23</v>
      </c>
      <c r="I15" s="56">
        <f t="shared" si="4"/>
        <v>3</v>
      </c>
      <c r="L15" s="56" t="s">
        <v>15</v>
      </c>
      <c r="M15" s="56">
        <v>94</v>
      </c>
    </row>
    <row r="16" spans="1:14" x14ac:dyDescent="0.25">
      <c r="A16" s="67">
        <v>13</v>
      </c>
      <c r="B16" s="68" t="s">
        <v>3</v>
      </c>
      <c r="C16" s="69">
        <v>8</v>
      </c>
      <c r="D16" s="70">
        <v>226</v>
      </c>
      <c r="E16" s="69">
        <f t="shared" si="0"/>
        <v>4</v>
      </c>
      <c r="F16" s="71">
        <f t="shared" si="1"/>
        <v>2</v>
      </c>
      <c r="G16" s="70">
        <f t="shared" si="2"/>
        <v>1</v>
      </c>
      <c r="H16" s="72">
        <f t="shared" si="3"/>
        <v>45</v>
      </c>
      <c r="I16" s="56">
        <f t="shared" si="4"/>
        <v>3</v>
      </c>
      <c r="L16" s="56" t="s">
        <v>13</v>
      </c>
      <c r="M16" s="56">
        <v>94</v>
      </c>
    </row>
    <row r="17" spans="1:13" x14ac:dyDescent="0.25">
      <c r="A17" s="67">
        <v>14</v>
      </c>
      <c r="B17" s="68" t="s">
        <v>21</v>
      </c>
      <c r="C17" s="69">
        <v>32</v>
      </c>
      <c r="D17" s="70">
        <v>1208</v>
      </c>
      <c r="E17" s="69">
        <f t="shared" si="0"/>
        <v>16</v>
      </c>
      <c r="F17" s="71">
        <f t="shared" si="1"/>
        <v>6</v>
      </c>
      <c r="G17" s="70">
        <f t="shared" si="2"/>
        <v>5</v>
      </c>
      <c r="H17" s="72">
        <f t="shared" si="3"/>
        <v>242</v>
      </c>
      <c r="I17" s="56">
        <f t="shared" si="4"/>
        <v>1</v>
      </c>
      <c r="L17" s="56" t="s">
        <v>12</v>
      </c>
      <c r="M17" s="56">
        <v>46</v>
      </c>
    </row>
    <row r="18" spans="1:13" x14ac:dyDescent="0.25">
      <c r="A18" s="67">
        <v>15</v>
      </c>
      <c r="B18" s="68" t="s">
        <v>13</v>
      </c>
      <c r="C18" s="69">
        <v>24</v>
      </c>
      <c r="D18" s="70">
        <v>471</v>
      </c>
      <c r="E18" s="69">
        <f t="shared" si="0"/>
        <v>12</v>
      </c>
      <c r="F18" s="71">
        <f t="shared" si="1"/>
        <v>5</v>
      </c>
      <c r="G18" s="70">
        <f t="shared" si="2"/>
        <v>4</v>
      </c>
      <c r="H18" s="72">
        <f t="shared" si="3"/>
        <v>94</v>
      </c>
      <c r="I18" s="56">
        <f t="shared" si="4"/>
        <v>3</v>
      </c>
      <c r="L18" s="56" t="s">
        <v>3</v>
      </c>
      <c r="M18" s="56">
        <v>45</v>
      </c>
    </row>
    <row r="19" spans="1:13" x14ac:dyDescent="0.25">
      <c r="A19" s="67">
        <v>16</v>
      </c>
      <c r="B19" s="68" t="s">
        <v>8</v>
      </c>
      <c r="C19" s="69">
        <v>23</v>
      </c>
      <c r="D19" s="70">
        <v>837</v>
      </c>
      <c r="E19" s="69">
        <f t="shared" si="0"/>
        <v>12</v>
      </c>
      <c r="F19" s="71">
        <f t="shared" si="1"/>
        <v>5</v>
      </c>
      <c r="G19" s="70">
        <f t="shared" si="2"/>
        <v>4</v>
      </c>
      <c r="H19" s="72">
        <f t="shared" si="3"/>
        <v>167</v>
      </c>
      <c r="I19" s="56">
        <f t="shared" si="4"/>
        <v>2</v>
      </c>
      <c r="L19" s="56" t="s">
        <v>11</v>
      </c>
      <c r="M19" s="56">
        <v>36</v>
      </c>
    </row>
    <row r="20" spans="1:13" x14ac:dyDescent="0.25">
      <c r="A20" s="67">
        <v>17</v>
      </c>
      <c r="B20" s="68" t="s">
        <v>19</v>
      </c>
      <c r="C20" s="69">
        <v>13</v>
      </c>
      <c r="D20" s="70">
        <v>553</v>
      </c>
      <c r="E20" s="69">
        <f t="shared" si="0"/>
        <v>7</v>
      </c>
      <c r="F20" s="71">
        <f t="shared" si="1"/>
        <v>3</v>
      </c>
      <c r="G20" s="70">
        <f t="shared" si="2"/>
        <v>2</v>
      </c>
      <c r="H20" s="72">
        <f t="shared" si="3"/>
        <v>111</v>
      </c>
      <c r="I20" s="56">
        <f t="shared" si="4"/>
        <v>2</v>
      </c>
      <c r="L20" s="56" t="s">
        <v>20</v>
      </c>
      <c r="M20" s="56">
        <v>34</v>
      </c>
    </row>
    <row r="21" spans="1:13" x14ac:dyDescent="0.25">
      <c r="A21" s="67">
        <v>18</v>
      </c>
      <c r="B21" s="68" t="s">
        <v>16</v>
      </c>
      <c r="C21" s="69">
        <v>27</v>
      </c>
      <c r="D21" s="70">
        <v>826</v>
      </c>
      <c r="E21" s="69">
        <f t="shared" si="0"/>
        <v>14</v>
      </c>
      <c r="F21" s="71">
        <f t="shared" si="1"/>
        <v>5</v>
      </c>
      <c r="G21" s="70">
        <f t="shared" si="2"/>
        <v>4</v>
      </c>
      <c r="H21" s="72">
        <f t="shared" si="3"/>
        <v>165</v>
      </c>
      <c r="I21" s="56">
        <f t="shared" si="4"/>
        <v>2</v>
      </c>
      <c r="L21" s="56" t="s">
        <v>18</v>
      </c>
      <c r="M21" s="56">
        <v>23</v>
      </c>
    </row>
    <row r="22" spans="1:13" x14ac:dyDescent="0.25">
      <c r="A22" s="67">
        <v>19</v>
      </c>
      <c r="B22" s="68" t="s">
        <v>11</v>
      </c>
      <c r="C22" s="69">
        <v>5</v>
      </c>
      <c r="D22" s="70">
        <v>182</v>
      </c>
      <c r="E22" s="69">
        <f t="shared" si="0"/>
        <v>3</v>
      </c>
      <c r="F22" s="71">
        <f t="shared" si="1"/>
        <v>1</v>
      </c>
      <c r="G22" s="70">
        <f t="shared" si="2"/>
        <v>1</v>
      </c>
      <c r="H22" s="72">
        <f t="shared" si="3"/>
        <v>36</v>
      </c>
      <c r="I22" s="56">
        <f t="shared" si="4"/>
        <v>3</v>
      </c>
      <c r="L22" s="56" t="s">
        <v>7</v>
      </c>
      <c r="M22" s="56">
        <v>21</v>
      </c>
    </row>
    <row r="23" spans="1:13" x14ac:dyDescent="0.25">
      <c r="A23" s="74"/>
      <c r="B23" s="74" t="s">
        <v>2699</v>
      </c>
      <c r="C23" s="75">
        <f t="shared" ref="C23:H23" si="5">SUM(C4:C22)</f>
        <v>708</v>
      </c>
      <c r="D23" s="76">
        <f t="shared" si="5"/>
        <v>14482</v>
      </c>
      <c r="E23" s="75">
        <f t="shared" si="5"/>
        <v>358</v>
      </c>
      <c r="F23" s="76">
        <f t="shared" si="5"/>
        <v>142</v>
      </c>
      <c r="G23" s="76">
        <f t="shared" si="5"/>
        <v>109</v>
      </c>
      <c r="H23" s="76">
        <f t="shared" si="5"/>
        <v>2895</v>
      </c>
    </row>
    <row r="27" spans="1:13" x14ac:dyDescent="0.25">
      <c r="B27" s="56" t="s">
        <v>17</v>
      </c>
      <c r="C27" s="57">
        <v>324</v>
      </c>
    </row>
    <row r="28" spans="1:13" x14ac:dyDescent="0.25">
      <c r="B28" s="56" t="s">
        <v>10</v>
      </c>
      <c r="C28" s="57">
        <v>58</v>
      </c>
    </row>
    <row r="29" spans="1:13" x14ac:dyDescent="0.25">
      <c r="B29" s="56" t="s">
        <v>14</v>
      </c>
      <c r="C29" s="57">
        <v>51</v>
      </c>
    </row>
    <row r="30" spans="1:13" x14ac:dyDescent="0.25">
      <c r="B30" s="56" t="s">
        <v>9</v>
      </c>
      <c r="C30" s="57">
        <v>32</v>
      </c>
    </row>
    <row r="31" spans="1:13" x14ac:dyDescent="0.25">
      <c r="B31" s="56" t="s">
        <v>4</v>
      </c>
      <c r="C31" s="57">
        <v>32</v>
      </c>
    </row>
    <row r="32" spans="1:13" x14ac:dyDescent="0.25">
      <c r="B32" s="56" t="s">
        <v>21</v>
      </c>
      <c r="C32" s="57">
        <v>32</v>
      </c>
    </row>
    <row r="33" spans="2:8" x14ac:dyDescent="0.25">
      <c r="B33" s="56" t="s">
        <v>16</v>
      </c>
      <c r="C33" s="57">
        <v>27</v>
      </c>
    </row>
    <row r="34" spans="2:8" x14ac:dyDescent="0.25">
      <c r="B34" s="56" t="s">
        <v>13</v>
      </c>
      <c r="C34" s="57">
        <v>24</v>
      </c>
      <c r="F34" s="56">
        <v>1</v>
      </c>
      <c r="G34" s="77">
        <v>2000000</v>
      </c>
      <c r="H34" s="78">
        <f>F34*G34</f>
        <v>2000000</v>
      </c>
    </row>
    <row r="35" spans="2:8" x14ac:dyDescent="0.25">
      <c r="B35" s="56" t="s">
        <v>8</v>
      </c>
      <c r="C35" s="57">
        <v>23</v>
      </c>
      <c r="F35" s="56">
        <v>5</v>
      </c>
      <c r="G35" s="77">
        <v>1000000</v>
      </c>
      <c r="H35" s="78">
        <f t="shared" ref="H35:H39" si="6">F35*G35</f>
        <v>5000000</v>
      </c>
    </row>
    <row r="36" spans="2:8" x14ac:dyDescent="0.25">
      <c r="B36" s="56" t="s">
        <v>5</v>
      </c>
      <c r="C36" s="57">
        <v>21</v>
      </c>
      <c r="F36" s="56">
        <v>13</v>
      </c>
      <c r="G36" s="77">
        <v>500000</v>
      </c>
      <c r="H36" s="78">
        <f t="shared" si="6"/>
        <v>6500000</v>
      </c>
    </row>
    <row r="37" spans="2:8" x14ac:dyDescent="0.25">
      <c r="B37" s="56" t="s">
        <v>2</v>
      </c>
      <c r="C37" s="57">
        <v>14</v>
      </c>
      <c r="F37" s="56">
        <v>5</v>
      </c>
      <c r="G37" s="77">
        <v>3000000</v>
      </c>
      <c r="H37" s="78">
        <f t="shared" si="6"/>
        <v>15000000</v>
      </c>
    </row>
    <row r="38" spans="2:8" x14ac:dyDescent="0.25">
      <c r="B38" s="56" t="s">
        <v>20</v>
      </c>
      <c r="C38" s="57">
        <v>13</v>
      </c>
      <c r="F38" s="56">
        <v>6</v>
      </c>
      <c r="G38" s="77">
        <v>2000000</v>
      </c>
      <c r="H38" s="78">
        <f t="shared" si="6"/>
        <v>12000000</v>
      </c>
    </row>
    <row r="39" spans="2:8" x14ac:dyDescent="0.25">
      <c r="B39" s="56" t="s">
        <v>19</v>
      </c>
      <c r="C39" s="57">
        <v>13</v>
      </c>
      <c r="F39" s="56">
        <v>8</v>
      </c>
      <c r="G39" s="77">
        <v>1000000</v>
      </c>
      <c r="H39" s="78">
        <f t="shared" si="6"/>
        <v>8000000</v>
      </c>
    </row>
    <row r="40" spans="2:8" x14ac:dyDescent="0.25">
      <c r="B40" s="56" t="s">
        <v>15</v>
      </c>
      <c r="C40" s="57">
        <v>12</v>
      </c>
      <c r="H40" s="78">
        <f>SUM(H34:H39)</f>
        <v>48500000</v>
      </c>
    </row>
    <row r="41" spans="2:8" x14ac:dyDescent="0.25">
      <c r="B41" s="56" t="s">
        <v>7</v>
      </c>
      <c r="C41" s="57">
        <v>8</v>
      </c>
    </row>
    <row r="42" spans="2:8" x14ac:dyDescent="0.25">
      <c r="B42" s="56" t="s">
        <v>3</v>
      </c>
      <c r="C42" s="57">
        <v>8</v>
      </c>
    </row>
    <row r="43" spans="2:8" x14ac:dyDescent="0.25">
      <c r="B43" s="56" t="s">
        <v>18</v>
      </c>
      <c r="C43" s="57">
        <v>6</v>
      </c>
    </row>
    <row r="44" spans="2:8" x14ac:dyDescent="0.25">
      <c r="B44" s="56" t="s">
        <v>12</v>
      </c>
      <c r="C44" s="57">
        <v>5</v>
      </c>
    </row>
    <row r="45" spans="2:8" x14ac:dyDescent="0.25">
      <c r="B45" s="56" t="s">
        <v>11</v>
      </c>
      <c r="C45" s="57">
        <v>5</v>
      </c>
    </row>
    <row r="47" spans="2:8" x14ac:dyDescent="0.25">
      <c r="E47" s="56">
        <v>770000</v>
      </c>
    </row>
    <row r="48" spans="2:8" x14ac:dyDescent="0.25">
      <c r="E48" s="56">
        <f>+E47/1.1</f>
        <v>700000</v>
      </c>
    </row>
    <row r="49" spans="5:5" x14ac:dyDescent="0.25">
      <c r="E49" s="56">
        <f>+E48*1.08</f>
        <v>756000</v>
      </c>
    </row>
  </sheetData>
  <mergeCells count="5">
    <mergeCell ref="E1:G1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Sheet1</vt:lpstr>
      <vt:lpstr>Sheet2</vt:lpstr>
      <vt:lpstr>Sheet3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2026-01-16T08:48:58Z</dcterms:created>
  <dcterms:modified xsi:type="dcterms:W3CDTF">2026-02-03T13:45:42Z</dcterms:modified>
</cp:coreProperties>
</file>