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hidden" name="PL03_Cơ sở KD dược" sheetId="3" r:id="rId6"/>
  </sheets>
  <definedNames/>
  <calcPr/>
  <extLst>
    <ext uri="GoogleSheetsCustomDataVersion2">
      <go:sheetsCustomData xmlns:go="http://customooxmlschemas.google.com/" r:id="rId7" roundtripDataChecksum="WD2pcDF8LhnTpdGgBQmSYO6UaP+llVN15Qz2QXiMc1k="/>
    </ext>
  </extLst>
</workbook>
</file>

<file path=xl/sharedStrings.xml><?xml version="1.0" encoding="utf-8"?>
<sst xmlns="http://schemas.openxmlformats.org/spreadsheetml/2006/main" count="233" uniqueCount="119">
  <si>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</si>
  <si>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</si>
  <si>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</si>
  <si>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</si>
  <si>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</si>
  <si>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</si>
  <si>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</si>
  <si>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</si>
  <si>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</si>
  <si>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</si>
  <si>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</si>
  <si>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</si>
  <si>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</si>
  <si>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</si>
  <si>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</si>
  <si>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</si>
  <si>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</si>
  <si>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Nhân viên phụ trách</t>
  </si>
  <si>
    <t>PHÒNG KHÁM BỆNH NỘI KHOA TƯ NHÂN</t>
  </si>
  <si>
    <t>Phòng khám</t>
  </si>
  <si>
    <t>Xóm 2, Mường Xén, Nghệ An</t>
  </si>
  <si>
    <t>17-19h</t>
  </si>
  <si>
    <t>Bùi Đăng Phượng</t>
  </si>
  <si>
    <t>004227/NA-CCHN</t>
  </si>
  <si>
    <t>Sở y tế</t>
  </si>
  <si>
    <t>Cổ Bích Hảo</t>
  </si>
  <si>
    <t>PHÒNG KHÁM BỆNH RĂNG HÀM TƯ NHÂN</t>
  </si>
  <si>
    <t>Khe Tỳ, Hữu Kiệm, Nghệ An</t>
  </si>
  <si>
    <t>Vi Văn Hùng</t>
  </si>
  <si>
    <t>002958/NA-CCHN</t>
  </si>
  <si>
    <t>Nguyễn Khánh Huyền</t>
  </si>
  <si>
    <t>PHÒNG KHÁM BỆNH NGOẠI KHOA TƯ NHÂN DŨNG HÀ</t>
  </si>
  <si>
    <t>Nguyễn Tiến Dũng</t>
  </si>
  <si>
    <t>002964/NA-CCHN</t>
  </si>
  <si>
    <t>PHÒNG KHÁM BỆNH NỘI KHOA TƯ NHÂN BS MOONG THỊ THẮM</t>
  </si>
  <si>
    <t>Khối 5 , Mường Xén, Nghệ An</t>
  </si>
  <si>
    <t>0954/NA-GPHĐ</t>
  </si>
  <si>
    <t>Moong Thị Thắm</t>
  </si>
  <si>
    <t>002914/NA-CCHN</t>
  </si>
  <si>
    <t>Trần Thị Hường</t>
  </si>
  <si>
    <t>PHÒNG KHÁM BỆNH SẢN PHỤ KHOA TƯ NHÂN HẢI ĐƯỜNG</t>
  </si>
  <si>
    <t>Lô Văn Hải</t>
  </si>
  <si>
    <t>002946/NA-CCHN</t>
  </si>
  <si>
    <t>PHÒNG KHÁM BỆNH SẢN PHỤ KHOA TƯ NHÂN</t>
  </si>
  <si>
    <t>Vy Thị Chuyên</t>
  </si>
  <si>
    <t>009483/NA-CCHN</t>
  </si>
  <si>
    <t>PHÒNG KHÁM BỆNH NỘI SOI TƯ NHÂN BS MỸ</t>
  </si>
  <si>
    <t>Bản Trung Tâm, xã Huồi Tụ, Nghệ An</t>
  </si>
  <si>
    <t>Võ Văn Mỹ</t>
  </si>
  <si>
    <t>Nguyễn Nam Anh</t>
  </si>
  <si>
    <t>PHÒNG KHÁM CHUYÊN KHOA SẢN PHỤ SƠN THÀNH</t>
  </si>
  <si>
    <t>Bản Sơn Thành, Mường Xén, Nghệ An</t>
  </si>
  <si>
    <t>Vừ Y Xừ</t>
  </si>
  <si>
    <t>003492/NA-CCHN</t>
  </si>
  <si>
    <t>PHÒNG KHÁM BỆNH TƯ NHÂN PHÚ HIẾN</t>
  </si>
  <si>
    <t>Khối 2, Mường Xén, Nghệ An</t>
  </si>
  <si>
    <t>Hồ Hồng Hải</t>
  </si>
  <si>
    <t>000025/NA-CCHN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</si>
  <si>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</si>
  <si>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</si>
  <si>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</si>
  <si>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</si>
  <si>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</si>
  <si>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</si>
  <si>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</si>
  <si>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</si>
  <si>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</si>
  <si>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</si>
  <si>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</si>
  <si>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</si>
  <si>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</si>
  <si>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1 </t>
  </si>
  <si>
    <t>Sở y tế Nghệ An</t>
  </si>
  <si>
    <t>Bác sỹ</t>
  </si>
  <si>
    <t>Đại học</t>
  </si>
  <si>
    <t>Khám chữa bệnh đa khoa</t>
  </si>
  <si>
    <t>2 </t>
  </si>
  <si>
    <t>Răng hàm mặt</t>
  </si>
  <si>
    <t>Nội khoa</t>
  </si>
  <si>
    <t>004229/NA-CCHN</t>
  </si>
  <si>
    <t>Sản phụ khoa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</si>
  <si>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</si>
  <si>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</si>
  <si>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</si>
  <si>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</si>
  <si>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</si>
  <si>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</si>
  <si>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</si>
  <si>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</si>
  <si>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</si>
  <si>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</si>
  <si>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</si>
  <si>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</si>
  <si>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</si>
  <si>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</si>
  <si>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</si>
  <si>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</si>
  <si>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</si>
  <si>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</si>
  <si>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</si>
  <si>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</si>
  <si>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</si>
  <si>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</si>
  <si>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Nhà thuốc Thủy Nguyên</t>
  </si>
  <si>
    <t>Xóm 6</t>
  </si>
  <si>
    <t>Xã Phúc Lộc</t>
  </si>
  <si>
    <t>09121321351</t>
  </si>
  <si>
    <t>Nhà thuốc</t>
  </si>
  <si>
    <t>Bán lẻ thuốc (bao gồm cả thuốc phải kiểm soát đặc biệt) thuộc danh mục thuốc thiết yếu và thuốc không kê đơn.</t>
  </si>
  <si>
    <t>3586-24</t>
  </si>
  <si>
    <t>11515/24</t>
  </si>
  <si>
    <t>Nguyễn Văn C</t>
  </si>
  <si>
    <t>Cấp mới</t>
  </si>
  <si>
    <t>Nguyễn Văn B</t>
  </si>
  <si>
    <t>04002151454</t>
  </si>
  <si>
    <t>Xóm 12, Xã Phúc Lộc</t>
  </si>
  <si>
    <t>3128-21/CCHN-D-SYT-NA</t>
  </si>
  <si>
    <t>SYT Nghệ An</t>
  </si>
  <si>
    <t xml:space="preserve">	Dược sĩ đại học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</si>
</sst>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"/>
  </numFmts>
  <fonts count="11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rgb="FF081B3A"/>
      <name val="SegoeuiPc"/>
    </font>
    <font>
      <sz val="11.0"/>
      <color theme="1"/>
      <name val="Times New Roman"/>
    </font>
    <font>
      <b/>
      <sz val="11.0"/>
      <color rgb="FF000000"/>
      <name val="Times New Roman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14" xfId="0" applyAlignment="1" applyBorder="1" applyFont="1" applyNumberFormat="1">
      <alignment horizontal="left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left"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6" numFmtId="14" xfId="0" applyAlignment="1" applyBorder="1" applyFont="1" applyNumberFormat="1">
      <alignment vertical="center"/>
    </xf>
    <xf borderId="1" fillId="0" fontId="1" numFmtId="164" xfId="0" applyAlignment="1" applyBorder="1" applyFont="1" applyNumberFormat="1">
      <alignment readingOrder="0" shrinkToFit="0" vertical="center" wrapText="1"/>
    </xf>
    <xf borderId="1" fillId="0" fontId="6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0" fillId="0" fontId="1" numFmtId="0" xfId="0" applyAlignment="1" applyFont="1">
      <alignment horizontal="right"/>
    </xf>
    <xf borderId="1" fillId="0" fontId="1" numFmtId="164" xfId="0" applyAlignment="1" applyBorder="1" applyFont="1" applyNumberFormat="1">
      <alignment readingOrder="0" vertical="center"/>
    </xf>
    <xf borderId="1" fillId="0" fontId="1" numFmtId="166" xfId="0" applyAlignment="1" applyBorder="1" applyFont="1" applyNumberFormat="1">
      <alignment readingOrder="0" vertical="center"/>
    </xf>
    <xf borderId="1" fillId="3" fontId="7" numFmtId="165" xfId="0" applyAlignment="1" applyBorder="1" applyFill="1" applyFont="1" applyNumberFormat="1">
      <alignment horizontal="right" readingOrder="0" vertical="center"/>
    </xf>
    <xf borderId="1" fillId="3" fontId="7" numFmtId="165" xfId="0" applyAlignment="1" applyBorder="1" applyFont="1" applyNumberFormat="1">
      <alignment horizontal="right" readingOrder="0"/>
    </xf>
    <xf borderId="0" fillId="0" fontId="8" numFmtId="0" xfId="0" applyFont="1"/>
    <xf borderId="2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5" fillId="0" fontId="10" numFmtId="0" xfId="0" applyBorder="1" applyFont="1"/>
    <xf borderId="6" fillId="0" fontId="10" numFmtId="0" xfId="0" applyBorder="1" applyFont="1"/>
    <xf borderId="1" fillId="0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quotePrefix="1" borderId="1" fillId="2" fontId="6" numFmtId="0" xfId="0" applyAlignment="1" applyBorder="1" applyFont="1">
      <alignment horizontal="left" shrinkToFit="0" vertical="center" wrapText="1"/>
    </xf>
    <xf borderId="1" fillId="2" fontId="6" numFmtId="14" xfId="0" applyAlignment="1" applyBorder="1" applyFont="1" applyNumberForma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37.25"/>
    <col customWidth="1" min="4" max="4" width="13.63"/>
    <col customWidth="1" min="5" max="5" width="14.38"/>
    <col customWidth="1" min="6" max="6" width="11.13"/>
    <col customWidth="1" min="7" max="7" width="13.38"/>
    <col customWidth="1" min="8" max="8" width="26.25"/>
    <col customWidth="1" min="9" max="11" width="11.13"/>
    <col customWidth="1" min="12" max="12" width="16.63"/>
    <col customWidth="1" min="13" max="13" width="19.13"/>
    <col customWidth="1" min="14" max="14" width="16.13"/>
    <col customWidth="1" min="15" max="15" width="17.88"/>
    <col customWidth="1" min="16" max="17" width="11.13"/>
    <col customWidth="1" min="18" max="18" width="17.88"/>
    <col customWidth="1" min="19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6" t="s">
        <v>17</v>
      </c>
      <c r="S4" s="4"/>
      <c r="T4" s="4"/>
      <c r="U4" s="4"/>
      <c r="V4" s="4"/>
      <c r="W4" s="4"/>
      <c r="X4" s="4"/>
      <c r="Y4" s="4"/>
      <c r="Z4" s="4"/>
    </row>
    <row r="5">
      <c r="A5" s="1"/>
      <c r="B5" s="7">
        <v>1.0</v>
      </c>
      <c r="C5" s="8" t="s">
        <v>18</v>
      </c>
      <c r="D5" s="8" t="s">
        <v>19</v>
      </c>
      <c r="E5" s="8" t="s">
        <v>20</v>
      </c>
      <c r="F5" s="8" t="str">
        <f t="shared" ref="F5:F13" si="1">LEFT(E5,FIND(",",E5) - 1)</f>
        <v>Xóm 2</v>
      </c>
      <c r="G5" s="8">
        <v>9.14125313E8</v>
      </c>
      <c r="H5" s="9"/>
      <c r="I5" s="10"/>
      <c r="J5" s="9"/>
      <c r="K5" s="9" t="s">
        <v>21</v>
      </c>
      <c r="L5" s="8" t="s">
        <v>22</v>
      </c>
      <c r="M5" s="11">
        <v>25270.0</v>
      </c>
      <c r="N5" s="8">
        <v>4.0069017519E10</v>
      </c>
      <c r="O5" s="8" t="s">
        <v>23</v>
      </c>
      <c r="P5" s="10"/>
      <c r="Q5" s="8" t="s">
        <v>24</v>
      </c>
      <c r="R5" s="12" t="s">
        <v>25</v>
      </c>
      <c r="S5" s="1"/>
      <c r="T5" s="1"/>
      <c r="U5" s="1"/>
      <c r="V5" s="1"/>
      <c r="W5" s="1"/>
      <c r="X5" s="1"/>
      <c r="Y5" s="1"/>
      <c r="Z5" s="1"/>
    </row>
    <row r="6">
      <c r="A6" s="1"/>
      <c r="B6" s="13">
        <v>2.0</v>
      </c>
      <c r="C6" s="8" t="s">
        <v>26</v>
      </c>
      <c r="D6" s="8" t="s">
        <v>19</v>
      </c>
      <c r="E6" s="8" t="s">
        <v>27</v>
      </c>
      <c r="F6" s="8" t="str">
        <f t="shared" si="1"/>
        <v>Khe Tỳ</v>
      </c>
      <c r="G6" s="8">
        <v>9.45015676E8</v>
      </c>
      <c r="H6" s="9"/>
      <c r="I6" s="9"/>
      <c r="J6" s="9"/>
      <c r="K6" s="9" t="s">
        <v>21</v>
      </c>
      <c r="L6" s="8" t="s">
        <v>28</v>
      </c>
      <c r="M6" s="11">
        <v>26733.0</v>
      </c>
      <c r="N6" s="8">
        <v>4.0073006463E10</v>
      </c>
      <c r="O6" s="8" t="s">
        <v>29</v>
      </c>
      <c r="P6" s="9"/>
      <c r="Q6" s="8" t="s">
        <v>24</v>
      </c>
      <c r="R6" s="12" t="s">
        <v>30</v>
      </c>
      <c r="S6" s="1"/>
      <c r="T6" s="1"/>
      <c r="U6" s="1"/>
      <c r="V6" s="1"/>
      <c r="W6" s="1"/>
      <c r="X6" s="1"/>
      <c r="Y6" s="1"/>
      <c r="Z6" s="1"/>
    </row>
    <row r="7">
      <c r="A7" s="1"/>
      <c r="B7" s="7">
        <v>3.0</v>
      </c>
      <c r="C7" s="8" t="s">
        <v>31</v>
      </c>
      <c r="D7" s="8" t="s">
        <v>19</v>
      </c>
      <c r="E7" s="8" t="s">
        <v>27</v>
      </c>
      <c r="F7" s="9" t="str">
        <f t="shared" si="1"/>
        <v>Khe Tỳ</v>
      </c>
      <c r="G7" s="8">
        <v>9.19570748E8</v>
      </c>
      <c r="H7" s="8"/>
      <c r="I7" s="9"/>
      <c r="J7" s="9"/>
      <c r="K7" s="9" t="s">
        <v>21</v>
      </c>
      <c r="L7" s="8" t="s">
        <v>32</v>
      </c>
      <c r="M7" s="11">
        <v>24278.0</v>
      </c>
      <c r="N7" s="8">
        <v>4.2066003392E10</v>
      </c>
      <c r="O7" s="8" t="s">
        <v>33</v>
      </c>
      <c r="P7" s="9"/>
      <c r="Q7" s="8" t="s">
        <v>24</v>
      </c>
      <c r="R7" s="12" t="s">
        <v>30</v>
      </c>
      <c r="S7" s="1"/>
      <c r="T7" s="1"/>
      <c r="U7" s="1"/>
      <c r="V7" s="1"/>
      <c r="W7" s="1"/>
      <c r="X7" s="1"/>
      <c r="Y7" s="1"/>
      <c r="Z7" s="1"/>
    </row>
    <row r="8">
      <c r="A8" s="1"/>
      <c r="B8" s="13">
        <v>4.0</v>
      </c>
      <c r="C8" s="8" t="s">
        <v>34</v>
      </c>
      <c r="D8" s="8" t="s">
        <v>19</v>
      </c>
      <c r="E8" s="8" t="s">
        <v>35</v>
      </c>
      <c r="F8" s="9" t="str">
        <f t="shared" si="1"/>
        <v>Khối 5 </v>
      </c>
      <c r="G8" s="8">
        <v>9.18198345E8</v>
      </c>
      <c r="H8" s="8" t="s">
        <v>36</v>
      </c>
      <c r="I8" s="9"/>
      <c r="J8" s="9"/>
      <c r="K8" s="9" t="s">
        <v>21</v>
      </c>
      <c r="L8" s="8" t="s">
        <v>37</v>
      </c>
      <c r="M8" s="14">
        <v>28045.0</v>
      </c>
      <c r="N8" s="8">
        <v>4.0176008922E10</v>
      </c>
      <c r="O8" s="8" t="s">
        <v>38</v>
      </c>
      <c r="P8" s="9"/>
      <c r="Q8" s="8" t="s">
        <v>24</v>
      </c>
      <c r="R8" s="12" t="s">
        <v>39</v>
      </c>
      <c r="S8" s="1"/>
      <c r="T8" s="1"/>
      <c r="U8" s="1"/>
      <c r="V8" s="1"/>
      <c r="W8" s="1"/>
      <c r="X8" s="1"/>
      <c r="Y8" s="1"/>
      <c r="Z8" s="1"/>
    </row>
    <row r="9">
      <c r="A9" s="1"/>
      <c r="B9" s="7">
        <v>5.0</v>
      </c>
      <c r="C9" s="8" t="s">
        <v>40</v>
      </c>
      <c r="D9" s="8" t="s">
        <v>19</v>
      </c>
      <c r="E9" s="8" t="s">
        <v>27</v>
      </c>
      <c r="F9" s="9" t="str">
        <f t="shared" si="1"/>
        <v>Khe Tỳ</v>
      </c>
      <c r="G9" s="8">
        <v>9.19968468E8</v>
      </c>
      <c r="H9" s="9"/>
      <c r="I9" s="9"/>
      <c r="J9" s="9"/>
      <c r="K9" s="9" t="s">
        <v>21</v>
      </c>
      <c r="L9" s="8" t="s">
        <v>41</v>
      </c>
      <c r="M9" s="11">
        <v>25318.0</v>
      </c>
      <c r="N9" s="8">
        <v>4.0069004096E10</v>
      </c>
      <c r="O9" s="8" t="s">
        <v>42</v>
      </c>
      <c r="P9" s="9"/>
      <c r="Q9" s="8" t="s">
        <v>24</v>
      </c>
      <c r="R9" s="12" t="s">
        <v>30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3">
        <v>6.0</v>
      </c>
      <c r="C10" s="8" t="s">
        <v>43</v>
      </c>
      <c r="D10" s="8" t="s">
        <v>19</v>
      </c>
      <c r="E10" s="8" t="s">
        <v>35</v>
      </c>
      <c r="F10" s="9" t="str">
        <f t="shared" si="1"/>
        <v>Khối 5 </v>
      </c>
      <c r="G10" s="8">
        <v>3.98454538E8</v>
      </c>
      <c r="H10" s="9"/>
      <c r="I10" s="9"/>
      <c r="J10" s="9"/>
      <c r="K10" s="9" t="s">
        <v>21</v>
      </c>
      <c r="L10" s="8" t="s">
        <v>44</v>
      </c>
      <c r="M10" s="14">
        <v>26645.0</v>
      </c>
      <c r="N10" s="8">
        <v>4.0172000937E10</v>
      </c>
      <c r="O10" s="8" t="s">
        <v>45</v>
      </c>
      <c r="P10" s="9"/>
      <c r="Q10" s="8" t="s">
        <v>24</v>
      </c>
      <c r="R10" s="12" t="s">
        <v>39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7">
        <v>7.0</v>
      </c>
      <c r="C11" s="8" t="s">
        <v>46</v>
      </c>
      <c r="D11" s="8" t="s">
        <v>19</v>
      </c>
      <c r="E11" s="8" t="s">
        <v>47</v>
      </c>
      <c r="F11" s="9" t="str">
        <f t="shared" si="1"/>
        <v>Bản Trung Tâm</v>
      </c>
      <c r="G11" s="9"/>
      <c r="H11" s="9"/>
      <c r="I11" s="9"/>
      <c r="J11" s="9"/>
      <c r="K11" s="9" t="s">
        <v>21</v>
      </c>
      <c r="L11" s="8" t="s">
        <v>48</v>
      </c>
      <c r="M11" s="8"/>
      <c r="N11" s="9"/>
      <c r="O11" s="9"/>
      <c r="P11" s="9"/>
      <c r="Q11" s="8" t="s">
        <v>24</v>
      </c>
      <c r="R11" s="12" t="s">
        <v>49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3">
        <v>8.0</v>
      </c>
      <c r="C12" s="8" t="s">
        <v>50</v>
      </c>
      <c r="D12" s="8" t="s">
        <v>19</v>
      </c>
      <c r="E12" s="8" t="s">
        <v>51</v>
      </c>
      <c r="F12" s="9" t="str">
        <f t="shared" si="1"/>
        <v>Bản Sơn Thành</v>
      </c>
      <c r="G12" s="8">
        <v>9.1677753E8</v>
      </c>
      <c r="H12" s="9"/>
      <c r="I12" s="9"/>
      <c r="J12" s="9"/>
      <c r="K12" s="9" t="s">
        <v>21</v>
      </c>
      <c r="L12" s="8" t="s">
        <v>52</v>
      </c>
      <c r="M12" s="11">
        <v>30715.0</v>
      </c>
      <c r="N12" s="8">
        <v>4.0184036959E10</v>
      </c>
      <c r="O12" s="8" t="s">
        <v>53</v>
      </c>
      <c r="P12" s="9"/>
      <c r="Q12" s="8" t="s">
        <v>24</v>
      </c>
      <c r="R12" s="12" t="s">
        <v>49</v>
      </c>
      <c r="S12" s="1"/>
      <c r="T12" s="1"/>
      <c r="U12" s="1"/>
      <c r="V12" s="1"/>
      <c r="W12" s="1"/>
      <c r="X12" s="1"/>
      <c r="Y12" s="1"/>
      <c r="Z12" s="1"/>
    </row>
    <row r="13">
      <c r="A13" s="1"/>
      <c r="B13" s="7">
        <v>9.0</v>
      </c>
      <c r="C13" s="8" t="s">
        <v>54</v>
      </c>
      <c r="D13" s="8" t="s">
        <v>19</v>
      </c>
      <c r="E13" s="8" t="s">
        <v>55</v>
      </c>
      <c r="F13" s="9" t="str">
        <f t="shared" si="1"/>
        <v>Khối 2</v>
      </c>
      <c r="G13" s="8">
        <v>9.792558E8</v>
      </c>
      <c r="H13" s="9"/>
      <c r="I13" s="9"/>
      <c r="J13" s="9"/>
      <c r="K13" s="9" t="s">
        <v>21</v>
      </c>
      <c r="L13" s="8" t="s">
        <v>56</v>
      </c>
      <c r="M13" s="11">
        <v>26383.0</v>
      </c>
      <c r="N13" s="8">
        <v>4.00720319E10</v>
      </c>
      <c r="O13" s="8" t="s">
        <v>57</v>
      </c>
      <c r="P13" s="9"/>
      <c r="Q13" s="8" t="s">
        <v>24</v>
      </c>
      <c r="R13" s="12" t="s">
        <v>25</v>
      </c>
      <c r="S13" s="1"/>
      <c r="T13" s="1"/>
      <c r="U13" s="1"/>
      <c r="V13" s="1"/>
      <c r="W13" s="1"/>
      <c r="X13" s="1"/>
      <c r="Y13" s="1"/>
      <c r="Z13" s="1"/>
    </row>
    <row r="14">
      <c r="A14" s="1"/>
      <c r="B14" s="7">
        <v>9.0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38"/>
    <col customWidth="1" min="3" max="3" width="20.0"/>
    <col customWidth="1" min="4" max="4" width="11.38"/>
    <col customWidth="1" min="5" max="5" width="23.38"/>
    <col customWidth="1" min="6" max="6" width="12.38"/>
    <col customWidth="1" min="7" max="7" width="10.88"/>
    <col customWidth="1" min="8" max="8" width="11.38"/>
    <col customWidth="1" min="9" max="9" width="9.13"/>
    <col customWidth="1" min="10" max="13" width="13.0"/>
    <col customWidth="1" min="14" max="14" width="33.38"/>
    <col customWidth="1" min="15" max="16" width="13.63"/>
    <col customWidth="1" min="17" max="17" width="17.13"/>
    <col customWidth="1" min="18" max="18" width="20.63"/>
    <col customWidth="1" min="19" max="28" width="9.13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15"/>
      <c r="B2" s="16" t="s">
        <v>58</v>
      </c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5"/>
      <c r="B4" s="5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14</v>
      </c>
      <c r="H4" s="5" t="s">
        <v>15</v>
      </c>
      <c r="I4" s="5" t="s">
        <v>16</v>
      </c>
      <c r="J4" s="5" t="s">
        <v>64</v>
      </c>
      <c r="K4" s="5" t="s">
        <v>65</v>
      </c>
      <c r="L4" s="5" t="s">
        <v>66</v>
      </c>
      <c r="M4" s="5" t="s">
        <v>67</v>
      </c>
      <c r="N4" s="17" t="s">
        <v>2</v>
      </c>
      <c r="O4" s="5" t="s">
        <v>68</v>
      </c>
      <c r="P4" s="5" t="s">
        <v>69</v>
      </c>
      <c r="Q4" s="5" t="s">
        <v>70</v>
      </c>
      <c r="R4" s="6" t="s">
        <v>17</v>
      </c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5"/>
      <c r="B5" s="7" t="s">
        <v>71</v>
      </c>
      <c r="C5" s="8" t="s">
        <v>22</v>
      </c>
      <c r="D5" s="11">
        <v>25270.0</v>
      </c>
      <c r="E5" s="8">
        <v>4.0069017519E10</v>
      </c>
      <c r="F5" s="18">
        <v>44581.0</v>
      </c>
      <c r="G5" s="8" t="s">
        <v>23</v>
      </c>
      <c r="H5" s="18">
        <v>43485.0</v>
      </c>
      <c r="I5" s="8" t="s">
        <v>72</v>
      </c>
      <c r="J5" s="8">
        <v>9.14125313E8</v>
      </c>
      <c r="K5" s="19" t="s">
        <v>73</v>
      </c>
      <c r="L5" s="19" t="s">
        <v>74</v>
      </c>
      <c r="M5" s="19" t="s">
        <v>75</v>
      </c>
      <c r="N5" s="8" t="s">
        <v>18</v>
      </c>
      <c r="O5" s="19"/>
      <c r="P5" s="19" t="s">
        <v>21</v>
      </c>
      <c r="Q5" s="20">
        <v>43850.0</v>
      </c>
      <c r="R5" s="12" t="s">
        <v>25</v>
      </c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5"/>
      <c r="B6" s="7" t="s">
        <v>76</v>
      </c>
      <c r="C6" s="8" t="s">
        <v>28</v>
      </c>
      <c r="D6" s="11">
        <v>26733.0</v>
      </c>
      <c r="E6" s="8">
        <v>4.0073006463E10</v>
      </c>
      <c r="F6" s="21">
        <v>44313.0</v>
      </c>
      <c r="G6" s="8" t="s">
        <v>29</v>
      </c>
      <c r="H6" s="22">
        <v>42378.0</v>
      </c>
      <c r="I6" s="8" t="s">
        <v>72</v>
      </c>
      <c r="J6" s="8">
        <v>9.45015676E8</v>
      </c>
      <c r="K6" s="19" t="s">
        <v>73</v>
      </c>
      <c r="L6" s="19" t="s">
        <v>74</v>
      </c>
      <c r="M6" s="23" t="s">
        <v>77</v>
      </c>
      <c r="N6" s="8" t="s">
        <v>26</v>
      </c>
      <c r="O6" s="19"/>
      <c r="P6" s="19" t="s">
        <v>21</v>
      </c>
      <c r="Q6" s="22">
        <v>42499.0</v>
      </c>
      <c r="R6" s="12" t="s">
        <v>30</v>
      </c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5"/>
      <c r="B7" s="13">
        <v>3.0</v>
      </c>
      <c r="C7" s="8" t="s">
        <v>32</v>
      </c>
      <c r="D7" s="11">
        <v>24278.0</v>
      </c>
      <c r="E7" s="8">
        <v>4.2066003392E10</v>
      </c>
      <c r="F7" s="24">
        <v>44313.0</v>
      </c>
      <c r="G7" s="8" t="s">
        <v>33</v>
      </c>
      <c r="H7" s="24">
        <v>36438.0</v>
      </c>
      <c r="I7" s="8" t="s">
        <v>72</v>
      </c>
      <c r="J7" s="8">
        <v>9.19570748E8</v>
      </c>
      <c r="K7" s="19" t="s">
        <v>73</v>
      </c>
      <c r="L7" s="19" t="s">
        <v>74</v>
      </c>
      <c r="M7" s="23" t="s">
        <v>78</v>
      </c>
      <c r="N7" s="8" t="s">
        <v>31</v>
      </c>
      <c r="O7" s="25"/>
      <c r="P7" s="19" t="s">
        <v>21</v>
      </c>
      <c r="Q7" s="24">
        <v>36469.0</v>
      </c>
      <c r="R7" s="12" t="s">
        <v>30</v>
      </c>
      <c r="S7" s="15"/>
      <c r="T7" s="26"/>
      <c r="U7" s="15"/>
      <c r="V7" s="15"/>
      <c r="W7" s="15"/>
      <c r="X7" s="15"/>
      <c r="Y7" s="15"/>
      <c r="Z7" s="15"/>
      <c r="AA7" s="15"/>
      <c r="AB7" s="15"/>
    </row>
    <row r="8">
      <c r="A8" s="15"/>
      <c r="B8" s="13">
        <v>4.0</v>
      </c>
      <c r="C8" s="8" t="s">
        <v>37</v>
      </c>
      <c r="D8" s="14">
        <v>28045.0</v>
      </c>
      <c r="E8" s="8">
        <v>4.0176008922E10</v>
      </c>
      <c r="F8" s="25"/>
      <c r="G8" s="8" t="s">
        <v>38</v>
      </c>
      <c r="H8" s="25"/>
      <c r="I8" s="8" t="s">
        <v>72</v>
      </c>
      <c r="J8" s="8">
        <v>9.18198345E8</v>
      </c>
      <c r="K8" s="19" t="s">
        <v>73</v>
      </c>
      <c r="L8" s="19" t="s">
        <v>74</v>
      </c>
      <c r="M8" s="19" t="s">
        <v>75</v>
      </c>
      <c r="N8" s="8" t="s">
        <v>34</v>
      </c>
      <c r="O8" s="25"/>
      <c r="P8" s="19" t="s">
        <v>21</v>
      </c>
      <c r="Q8" s="25"/>
      <c r="R8" s="12" t="s">
        <v>39</v>
      </c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13">
        <v>5.0</v>
      </c>
      <c r="C9" s="8" t="s">
        <v>41</v>
      </c>
      <c r="D9" s="11">
        <v>25318.0</v>
      </c>
      <c r="E9" s="8">
        <v>4.0069004096E10</v>
      </c>
      <c r="F9" s="24">
        <v>44299.0</v>
      </c>
      <c r="G9" s="8" t="s">
        <v>42</v>
      </c>
      <c r="H9" s="24">
        <v>36193.0</v>
      </c>
      <c r="I9" s="8" t="s">
        <v>72</v>
      </c>
      <c r="J9" s="8">
        <v>9.19968468E8</v>
      </c>
      <c r="K9" s="19" t="s">
        <v>73</v>
      </c>
      <c r="L9" s="19" t="s">
        <v>74</v>
      </c>
      <c r="M9" s="19" t="s">
        <v>75</v>
      </c>
      <c r="N9" s="8" t="s">
        <v>40</v>
      </c>
      <c r="O9" s="25"/>
      <c r="P9" s="19" t="s">
        <v>21</v>
      </c>
      <c r="Q9" s="24">
        <v>36405.0</v>
      </c>
      <c r="R9" s="12" t="s">
        <v>30</v>
      </c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5"/>
      <c r="B10" s="13">
        <v>6.0</v>
      </c>
      <c r="C10" s="8" t="s">
        <v>44</v>
      </c>
      <c r="D10" s="14">
        <v>26645.0</v>
      </c>
      <c r="E10" s="8">
        <v>4.0172000937E10</v>
      </c>
      <c r="F10" s="27">
        <v>44535.0</v>
      </c>
      <c r="G10" s="8" t="s">
        <v>45</v>
      </c>
      <c r="H10" s="25"/>
      <c r="I10" s="8" t="s">
        <v>72</v>
      </c>
      <c r="J10" s="8">
        <v>3.98454538E8</v>
      </c>
      <c r="K10" s="19" t="s">
        <v>73</v>
      </c>
      <c r="L10" s="19" t="s">
        <v>74</v>
      </c>
      <c r="M10" s="19" t="s">
        <v>75</v>
      </c>
      <c r="N10" s="8" t="s">
        <v>43</v>
      </c>
      <c r="O10" s="25"/>
      <c r="P10" s="19" t="s">
        <v>21</v>
      </c>
      <c r="Q10" s="25"/>
      <c r="R10" s="12" t="s">
        <v>39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13">
        <v>7.0</v>
      </c>
      <c r="C11" s="8" t="s">
        <v>48</v>
      </c>
      <c r="D11" s="11">
        <v>28592.0</v>
      </c>
      <c r="E11" s="8">
        <v>4.0078031414E10</v>
      </c>
      <c r="F11" s="28">
        <v>44830.0</v>
      </c>
      <c r="G11" s="8" t="s">
        <v>79</v>
      </c>
      <c r="H11" s="27">
        <v>41841.0</v>
      </c>
      <c r="I11" s="8" t="s">
        <v>72</v>
      </c>
      <c r="J11" s="8">
        <v>9.17110078E8</v>
      </c>
      <c r="K11" s="19" t="s">
        <v>73</v>
      </c>
      <c r="L11" s="19" t="s">
        <v>74</v>
      </c>
      <c r="M11" s="19" t="s">
        <v>75</v>
      </c>
      <c r="N11" s="8" t="s">
        <v>46</v>
      </c>
      <c r="O11" s="25"/>
      <c r="P11" s="19" t="s">
        <v>21</v>
      </c>
      <c r="Q11" s="29">
        <v>43608.0</v>
      </c>
      <c r="R11" s="12" t="s">
        <v>49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13">
        <v>8.0</v>
      </c>
      <c r="C12" s="8" t="s">
        <v>52</v>
      </c>
      <c r="D12" s="11">
        <v>30715.0</v>
      </c>
      <c r="E12" s="8">
        <v>4.0184036959E10</v>
      </c>
      <c r="F12" s="27">
        <v>44579.0</v>
      </c>
      <c r="G12" s="8" t="s">
        <v>53</v>
      </c>
      <c r="H12" s="27">
        <v>41758.0</v>
      </c>
      <c r="I12" s="8" t="s">
        <v>72</v>
      </c>
      <c r="J12" s="8">
        <v>9.1677753E8</v>
      </c>
      <c r="K12" s="19" t="s">
        <v>73</v>
      </c>
      <c r="L12" s="19" t="s">
        <v>74</v>
      </c>
      <c r="M12" s="23" t="s">
        <v>80</v>
      </c>
      <c r="N12" s="8" t="s">
        <v>50</v>
      </c>
      <c r="O12" s="25"/>
      <c r="P12" s="19" t="s">
        <v>21</v>
      </c>
      <c r="Q12" s="30"/>
      <c r="R12" s="12" t="s">
        <v>49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5"/>
      <c r="B13" s="13">
        <v>9.0</v>
      </c>
      <c r="C13" s="8" t="s">
        <v>56</v>
      </c>
      <c r="D13" s="11">
        <v>26383.0</v>
      </c>
      <c r="E13" s="8">
        <v>4.00720319E10</v>
      </c>
      <c r="F13" s="25"/>
      <c r="G13" s="8" t="s">
        <v>57</v>
      </c>
      <c r="H13" s="25"/>
      <c r="I13" s="8" t="s">
        <v>72</v>
      </c>
      <c r="J13" s="8">
        <v>9.792558E8</v>
      </c>
      <c r="K13" s="19" t="s">
        <v>73</v>
      </c>
      <c r="L13" s="19" t="s">
        <v>74</v>
      </c>
      <c r="M13" s="19" t="s">
        <v>75</v>
      </c>
      <c r="N13" s="8" t="s">
        <v>54</v>
      </c>
      <c r="O13" s="25"/>
      <c r="P13" s="19" t="s">
        <v>21</v>
      </c>
      <c r="Q13" s="25"/>
      <c r="R13" s="12" t="s">
        <v>25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"/>
      <c r="S14" s="15"/>
      <c r="T14" s="15"/>
      <c r="U14" s="15"/>
      <c r="V14" s="15"/>
      <c r="W14" s="15"/>
      <c r="X14" s="15"/>
      <c r="Y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38"/>
    <col customWidth="1" min="3" max="3" width="19.63"/>
    <col customWidth="1" min="4" max="4" width="17.38"/>
    <col customWidth="1" min="5" max="6" width="16.38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6" t="s">
        <v>81</v>
      </c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4.75" customHeight="1">
      <c r="A4" s="31"/>
      <c r="B4" s="32" t="s">
        <v>1</v>
      </c>
      <c r="C4" s="33" t="s">
        <v>82</v>
      </c>
      <c r="D4" s="34"/>
      <c r="E4" s="34"/>
      <c r="F4" s="34"/>
      <c r="G4" s="34"/>
      <c r="H4" s="34"/>
      <c r="I4" s="34"/>
      <c r="J4" s="35"/>
      <c r="K4" s="33" t="s">
        <v>83</v>
      </c>
      <c r="L4" s="34"/>
      <c r="M4" s="34"/>
      <c r="N4" s="35"/>
      <c r="O4" s="33" t="s">
        <v>84</v>
      </c>
      <c r="P4" s="34"/>
      <c r="Q4" s="34"/>
      <c r="R4" s="34"/>
      <c r="S4" s="34"/>
      <c r="T4" s="34"/>
      <c r="U4" s="34"/>
      <c r="V4" s="34"/>
      <c r="W4" s="35"/>
      <c r="X4" s="31"/>
      <c r="Y4" s="31"/>
      <c r="Z4" s="31"/>
    </row>
    <row r="5">
      <c r="A5" s="31"/>
      <c r="B5" s="36"/>
      <c r="C5" s="37" t="s">
        <v>85</v>
      </c>
      <c r="D5" s="37" t="s">
        <v>86</v>
      </c>
      <c r="E5" s="37" t="s">
        <v>5</v>
      </c>
      <c r="F5" s="37" t="s">
        <v>6</v>
      </c>
      <c r="G5" s="37" t="s">
        <v>87</v>
      </c>
      <c r="H5" s="37" t="s">
        <v>88</v>
      </c>
      <c r="I5" s="37" t="s">
        <v>89</v>
      </c>
      <c r="J5" s="37" t="s">
        <v>90</v>
      </c>
      <c r="K5" s="37" t="s">
        <v>91</v>
      </c>
      <c r="L5" s="37" t="s">
        <v>92</v>
      </c>
      <c r="M5" s="37" t="s">
        <v>93</v>
      </c>
      <c r="N5" s="37" t="s">
        <v>94</v>
      </c>
      <c r="O5" s="37" t="s">
        <v>95</v>
      </c>
      <c r="P5" s="37" t="s">
        <v>96</v>
      </c>
      <c r="Q5" s="37" t="s">
        <v>97</v>
      </c>
      <c r="R5" s="37" t="s">
        <v>98</v>
      </c>
      <c r="S5" s="37" t="s">
        <v>99</v>
      </c>
      <c r="T5" s="37" t="s">
        <v>100</v>
      </c>
      <c r="U5" s="37" t="s">
        <v>101</v>
      </c>
      <c r="V5" s="37" t="s">
        <v>102</v>
      </c>
      <c r="W5" s="37" t="s">
        <v>66</v>
      </c>
      <c r="X5" s="31"/>
      <c r="Y5" s="31"/>
      <c r="Z5" s="31"/>
    </row>
    <row r="6">
      <c r="A6" s="38"/>
      <c r="B6" s="39">
        <v>1.0</v>
      </c>
      <c r="C6" s="40" t="s">
        <v>103</v>
      </c>
      <c r="D6" s="40" t="s">
        <v>104</v>
      </c>
      <c r="E6" s="40" t="s">
        <v>105</v>
      </c>
      <c r="F6" s="41" t="s">
        <v>106</v>
      </c>
      <c r="G6" s="40" t="s">
        <v>107</v>
      </c>
      <c r="H6" s="40" t="s">
        <v>108</v>
      </c>
      <c r="I6" s="40" t="s">
        <v>109</v>
      </c>
      <c r="J6" s="42">
        <v>45311.0</v>
      </c>
      <c r="K6" s="40" t="s">
        <v>110</v>
      </c>
      <c r="L6" s="42">
        <v>45309.0</v>
      </c>
      <c r="M6" s="40" t="s">
        <v>111</v>
      </c>
      <c r="N6" s="40" t="s">
        <v>112</v>
      </c>
      <c r="O6" s="40" t="s">
        <v>113</v>
      </c>
      <c r="P6" s="41" t="s">
        <v>114</v>
      </c>
      <c r="Q6" s="42">
        <v>26318.0</v>
      </c>
      <c r="R6" s="40" t="s">
        <v>115</v>
      </c>
      <c r="S6" s="40" t="s">
        <v>116</v>
      </c>
      <c r="T6" s="42">
        <v>44216.0</v>
      </c>
      <c r="U6" s="42">
        <v>44216.0</v>
      </c>
      <c r="V6" s="40" t="s">
        <v>117</v>
      </c>
      <c r="W6" s="40" t="s">
        <v>118</v>
      </c>
      <c r="X6" s="38"/>
      <c r="Y6" s="38"/>
      <c r="Z6" s="38"/>
    </row>
    <row r="7">
      <c r="A7" s="38"/>
      <c r="B7" s="43">
        <v>2.0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38"/>
      <c r="Y7" s="38"/>
      <c r="Z7" s="38"/>
    </row>
    <row r="8">
      <c r="A8" s="38"/>
      <c r="B8" s="43">
        <v>3.0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38"/>
      <c r="Y8" s="38"/>
      <c r="Z8" s="38"/>
    </row>
    <row r="9">
      <c r="A9" s="38"/>
      <c r="B9" s="43">
        <v>4.0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38"/>
      <c r="Y9" s="38"/>
      <c r="Z9" s="38"/>
    </row>
    <row r="10">
      <c r="A10" s="38"/>
      <c r="B10" s="43">
        <v>5.0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38"/>
      <c r="Y10" s="38"/>
      <c r="Z10" s="38"/>
    </row>
    <row r="11">
      <c r="A11" s="38"/>
      <c r="B11" s="43">
        <v>6.0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38"/>
      <c r="Y11" s="38"/>
      <c r="Z11" s="38"/>
    </row>
    <row r="12">
      <c r="A12" s="38"/>
      <c r="B12" s="43">
        <v>7.0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38"/>
      <c r="Y12" s="38"/>
      <c r="Z12" s="38"/>
    </row>
    <row r="13">
      <c r="A13" s="38"/>
      <c r="B13" s="43">
        <v>8.0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38"/>
      <c r="Y13" s="38"/>
      <c r="Z13" s="38"/>
    </row>
    <row r="14">
      <c r="A14" s="38"/>
      <c r="B14" s="1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